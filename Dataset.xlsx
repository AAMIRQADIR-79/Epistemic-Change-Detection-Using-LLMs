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0b652f59ae1d5ce1/Desktop/"/>
    </mc:Choice>
  </mc:AlternateContent>
  <xr:revisionPtr revIDLastSave="1" documentId="8_{525C4ED6-659E-465A-AE8D-B5C22B620548}" xr6:coauthVersionLast="47" xr6:coauthVersionMax="47" xr10:uidLastSave="{2CA6F9E4-7809-4910-A322-9BA74AE76B07}"/>
  <bookViews>
    <workbookView xWindow="-108" yWindow="-108" windowWidth="23256" windowHeight="12456" activeTab="4" xr2:uid="{00000000-000D-0000-FFFF-FFFF00000000}"/>
  </bookViews>
  <sheets>
    <sheet name="keywords check" sheetId="1" r:id="rId1"/>
    <sheet name="keywords(0 &amp; 1)" sheetId="3" r:id="rId2"/>
    <sheet name="keyword count in AI sheet" sheetId="8" r:id="rId3"/>
    <sheet name="final papers" sheetId="5" r:id="rId4"/>
    <sheet name="keyword count manually "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7" i="6" l="1"/>
  <c r="V24" i="6"/>
  <c r="V23" i="6"/>
  <c r="V22" i="6"/>
  <c r="V21" i="6"/>
  <c r="V20" i="6"/>
  <c r="V19" i="6"/>
  <c r="V18" i="6"/>
  <c r="V17" i="6"/>
  <c r="V16" i="6"/>
  <c r="V15" i="6"/>
  <c r="V14" i="6"/>
  <c r="V13" i="6"/>
  <c r="V12" i="6"/>
  <c r="V10" i="6"/>
  <c r="V11" i="6"/>
  <c r="V9" i="6"/>
  <c r="V8" i="6"/>
  <c r="V6" i="6"/>
  <c r="V5" i="6"/>
  <c r="V4" i="6"/>
  <c r="V3" i="6"/>
  <c r="V2" i="6"/>
  <c r="V1" i="6"/>
  <c r="Q16" i="6"/>
  <c r="Q15" i="6"/>
  <c r="Q14" i="6"/>
  <c r="Q13" i="6"/>
  <c r="Q12" i="6"/>
  <c r="Q11" i="6"/>
  <c r="Q10" i="6"/>
  <c r="Q9" i="6"/>
  <c r="Q8" i="6"/>
  <c r="Q7" i="6"/>
  <c r="Q6" i="6"/>
  <c r="Q5" i="6"/>
  <c r="Q1" i="6"/>
  <c r="H13" i="8"/>
  <c r="H12" i="8"/>
  <c r="H11" i="8"/>
  <c r="L3" i="8"/>
  <c r="H10" i="8"/>
  <c r="O2" i="8"/>
  <c r="O5" i="8"/>
  <c r="O4" i="8"/>
  <c r="L2" i="8"/>
  <c r="L5" i="8"/>
  <c r="L4" i="8"/>
  <c r="H5" i="8"/>
  <c r="H4" i="8"/>
  <c r="H3" i="8"/>
  <c r="H2" i="8"/>
  <c r="A3" i="5"/>
  <c r="A4" i="5" s="1"/>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B285" i="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alcChain>
</file>

<file path=xl/sharedStrings.xml><?xml version="1.0" encoding="utf-8"?>
<sst xmlns="http://schemas.openxmlformats.org/spreadsheetml/2006/main" count="3489" uniqueCount="511">
  <si>
    <t>Name</t>
  </si>
  <si>
    <t>Article Title</t>
  </si>
  <si>
    <t>LLM</t>
  </si>
  <si>
    <t>Epistemic Change</t>
  </si>
  <si>
    <t>Full-text/Text Mining</t>
  </si>
  <si>
    <t>Downloaded</t>
  </si>
  <si>
    <t>NAME OF DATABASE</t>
  </si>
  <si>
    <t>Exploring retrieval-augmented generation for multi-label discipline classification of academic short texts</t>
  </si>
  <si>
    <t>✓</t>
  </si>
  <si>
    <t>✗</t>
  </si>
  <si>
    <t>Yes</t>
  </si>
  <si>
    <t>WoS</t>
  </si>
  <si>
    <t>An Accurate and Efficient Approach to Knowledge Extraction from Scientific Publications Using Structured Ontology Models, Graph Neural Networks, and Large Language Models</t>
  </si>
  <si>
    <t>Retrieval-augmented Chinese text-to-SQL generation for conversational bibliographic search</t>
  </si>
  <si>
    <t>Exploring the applicability of large language models to citation context analysis</t>
  </si>
  <si>
    <t>Recent Trends and Insights in Semantic Web and Ontology-Driven Knowledge Representation Across Disciplines Using Topic Modeling</t>
  </si>
  <si>
    <t>Supporting Your Idea Reasonably: A Knowledge-Aware Topic Reasoning Strategy for Citation Recommendation</t>
  </si>
  <si>
    <t>Investigating topic modeling techniques through evaluation of topics discovered in short texts data across diverse domains</t>
  </si>
  <si>
    <t>Topic Modelling in Hindi Using BERT, LDA, LSA and NMF Approaches</t>
  </si>
  <si>
    <t>No</t>
  </si>
  <si>
    <t>A Systematic Literature Review on RDF Triple Generation From Natural Language Texts</t>
  </si>
  <si>
    <t>Exploring the Research Landscape on Single-Case Design Methodology Using Technology Through Text Mining and Large Language Models</t>
  </si>
  <si>
    <t>Bibliographic network enhanced local citation recommendation</t>
  </si>
  <si>
    <t>Ontology-based prompt tuning for news article summarization</t>
  </si>
  <si>
    <t>Conversational Bibliographic Search</t>
  </si>
  <si>
    <t>When text mining meets science mapping in the bibliometric analysis: A review and future opportunities</t>
  </si>
  <si>
    <t>Short text topic modelling approaches in the context of big data: taxonomy, survey, and analysis</t>
  </si>
  <si>
    <t>A domain keyword analysis approach extending Term Frequency-Keyword Active Index with Google Word2Vec model</t>
  </si>
  <si>
    <t>Application of Text Mining Techniques on Scholarly Research Articles: Methods and Tools</t>
  </si>
  <si>
    <t>A cross-domain transfer learning model for author name disambiguation on heterogeneous graph with pretrained language model</t>
  </si>
  <si>
    <t>A Short-Text Similarity Model Combining Semantic and Syntactic Information</t>
  </si>
  <si>
    <t>Automating Systematic Literature Reviews with Natural Language Processing and Text Mining: A Systematic Literature Review</t>
  </si>
  <si>
    <t>Exploratory Analysis of Topic Interests and Their Evolution in Bioinformatics Research Using Semantic Text Mining and Probabilistic Topic Modeling</t>
  </si>
  <si>
    <t>SciEval: A Multi -Level Large Language Model Evaluation Benchmark for Scientific Research</t>
  </si>
  <si>
    <t>A decade of in-text citation analysis based on natural language processing and machine learning techniques: an overview of empirical studies</t>
  </si>
  <si>
    <t>Knowledge discovery out of text data: a systematic review via text mining</t>
  </si>
  <si>
    <t>Discourse-Aware Unsupervised Summarization of Long Scientific Documents</t>
  </si>
  <si>
    <t>Enabling Large Language Models to Generate Text with Citations</t>
  </si>
  <si>
    <t>The CSO Classifier: Ontology-Driven Detection of Research Topics in Scholarly Articles</t>
  </si>
  <si>
    <t>A Comprehensive Survey of Scientific Large Language Models and Their Applications in Scientific Discovery</t>
  </si>
  <si>
    <t>Research on semantic representation and citation recommendation of scientific papers with multiple semantics fusion</t>
  </si>
  <si>
    <t>PATTON : Language Model Pretraining on Text-Rich Networks</t>
  </si>
  <si>
    <t>Structured information extraction from scientific text with large language models</t>
  </si>
  <si>
    <t>Citation recommendation using semantic representation of cited papers' relations and content</t>
  </si>
  <si>
    <t>SCIBERT: A Pretrained Language Model for Scientific Text</t>
  </si>
  <si>
    <t>Evolution of Semantic Similarity-A Survey</t>
  </si>
  <si>
    <t>Author name disambiguation of bibliometric data: A comparison of several unsupervised approaches</t>
  </si>
  <si>
    <t>Enhancing abstractive summarization of scientific papers using structure information</t>
  </si>
  <si>
    <t>Robust and Collective Entity Disambiguation through Semantic Embeddings</t>
  </si>
  <si>
    <t>Bibliometric-enhanced information retrieval: a novel deep feature engineering approach for algorithm searching from full-text publications</t>
  </si>
  <si>
    <t>Using the full-text content of academic articles to identify and evaluate algorithm entities in the domain of natural language processing</t>
  </si>
  <si>
    <t>An integrated LDA and SciBERT Model for Topic Analysis: A Case Study of Network Science</t>
  </si>
  <si>
    <t>Identification and Visualization of Key Topics in Scientific Publications with Transformer-Based Language Models and Document Clustering Methods</t>
  </si>
  <si>
    <t>Benchmarking Knowledge-Enhanced Commonsense Question Answering via Knowledge-to-Text Transformation</t>
  </si>
  <si>
    <t>Semi-automatic terminology ontology learning based on topic modeling</t>
  </si>
  <si>
    <t>Big data techniques: Large-scale text analysis for scientific and journalistic research</t>
  </si>
  <si>
    <t>Topic Modeling for Short Texts via Word Embedding and Document Correlation</t>
  </si>
  <si>
    <t>Text Mining For Information Systems Researchers: An Annotated Topic Modeling Tutorial</t>
  </si>
  <si>
    <t>Identify Topic Relations in Scientific Literature Using Topic Modeling</t>
  </si>
  <si>
    <t>The SciQA Scientific Question Answering Benchmark for Scholarly Knowledge</t>
  </si>
  <si>
    <t>Using text analysis to quantify the similarity and evolution of scientific disciplines</t>
  </si>
  <si>
    <t>Automatic summarization of scientific articles: A survey</t>
  </si>
  <si>
    <t>Self-supervised scientific document recommendation based on contrastive learning</t>
  </si>
  <si>
    <t>YES</t>
  </si>
  <si>
    <t>A Data-Based Approach for Computer Domain Knowledge Representation</t>
  </si>
  <si>
    <t>NO</t>
  </si>
  <si>
    <t>A topic modeling-based bibliometric exploration of automatic summarization research</t>
  </si>
  <si>
    <t>Improving and Evaluating Topic Models and Other Models of Text</t>
  </si>
  <si>
    <t>K-LM: Knowledge Augmenting in Language Models Within the Scholarly Domain</t>
  </si>
  <si>
    <t>Exploiting semantic similarity for named entity disambiguation in knowledge graphs</t>
  </si>
  <si>
    <t>Recommendation method for academic journal submission based on doc2vec and XGBoost</t>
  </si>
  <si>
    <t>ruSciBERT: A Transformer Language Model for Obtaining Semantic Embeddings of Scientific Texts in Russian</t>
  </si>
  <si>
    <t>Variational Graph Author Topic Modeling</t>
  </si>
  <si>
    <t>Bringing Structure into Summaries: a Faceted Summarization Dataset for Long Scientific Documents</t>
  </si>
  <si>
    <t>Integrating Big Data Into Evaluation: R Code for Topic Identification and Modeling</t>
  </si>
  <si>
    <t>Mining arguments in scientific abstracts with discourse-level embeddings</t>
  </si>
  <si>
    <t>Text Annotation Tools: A Comprehensive Review and Comparative Analysis</t>
  </si>
  <si>
    <t>An Efficient Topic Modeling Approach for Text Mining and Information Retrieval through K-means Clustering</t>
  </si>
  <si>
    <t>An analysis and comparison of keyword recommendation methods for scientific data</t>
  </si>
  <si>
    <t>Discovering related scientific literature beyond semantic similarity: a new co-citation approach</t>
  </si>
  <si>
    <t>An integrated method for interdisciplinary topic identification and prediction: a case study on information science and library science</t>
  </si>
  <si>
    <t>S-LDA: Documents Classification Enrichment for Information Retrieval</t>
  </si>
  <si>
    <t>News Citation Recommendation with Implicit and Explicit Semantics</t>
  </si>
  <si>
    <t>Scientific document summarization via citation contextualization and scientific discourse</t>
  </si>
  <si>
    <t>Topic Analysis of the Research Domain in Knowledge Organization: A Latent Dirichlet Allocation Approach</t>
  </si>
  <si>
    <t>Facet Embeddings for Explorative Analytics in Digital Libraries</t>
  </si>
  <si>
    <t>NetTaxo: Automated Topic Taxonomy Construction from Text-Rich Network</t>
  </si>
  <si>
    <t>Research on Text Classification Based on Automatically Extracted Keywords</t>
  </si>
  <si>
    <t>Topic-to-Text Generation with PMI-IR Additional Semantic Information</t>
  </si>
  <si>
    <t>Predicting the Impact of Scientific Concepts Using Full-Text Features</t>
  </si>
  <si>
    <t>Assessing Semantic Similarity of Texts - Methods and Algorithms</t>
  </si>
  <si>
    <t>Hybrid Question Answering using Heuristic Methods and Linked Data Schema</t>
  </si>
  <si>
    <t>NLP Relational Queries and Its Application</t>
  </si>
  <si>
    <t>Applying Core Scientific Concepts to Context-Based Citation Recommendation</t>
  </si>
  <si>
    <t>Dynamical entropic analysis of scientific concepts</t>
  </si>
  <si>
    <t>An Automatic Document Summarization Approach based on Fuzzy Ontology and Machine Learning</t>
  </si>
  <si>
    <t>Semantic Understanding of Natural Language Stories for Near Human Question Answering</t>
  </si>
  <si>
    <t>Citation Recommendation Using Distributed Representation of Discourse Facets in Scientific Articles</t>
  </si>
  <si>
    <t>Discourse-Driven Argument Mining in Scientific Abstracts</t>
  </si>
  <si>
    <t>A Concept-Based Text Analysis Approach Using Knowledge Graph</t>
  </si>
  <si>
    <t>Source code authorship approaches natural language processing</t>
  </si>
  <si>
    <t>Incorporating Wikipedia concepts and categories as prior knowledge into topic models</t>
  </si>
  <si>
    <t>Deep learning based dual encoder retrieval model for citation recommendation</t>
  </si>
  <si>
    <t>TGCEL: A Chinese Entity Linking Method Based on Topic Relation Graph</t>
  </si>
  <si>
    <t>Semi-supervised Topic Learning and Representation Method Based on Association Rules and Metadata</t>
  </si>
  <si>
    <t>A Methodology for Extracting Knowledge about Controlled Vocabularies from Textual Data using FCA-Based Ontology Engineering</t>
  </si>
  <si>
    <t>SciBERTSUM: Extractive Summarization for Scientific Documents</t>
  </si>
  <si>
    <t>Building a Knowledge Based Summarization System for Text Data Mining</t>
  </si>
  <si>
    <t>Aspect based citation sentiment analysis using linguistic patterns for better comprehension of scientific knowledge</t>
  </si>
  <si>
    <t>Measuring Content Complexity of Technical Texts: Machine Learning Experiments</t>
  </si>
  <si>
    <t>IMPLICIT KNOWLEDGE DISCOVERY IN DESIGN SEMANTIC NETWORK BY APPLYING PYTHAGOREAN MEANS ON SHORTEST PATH SEARCHING</t>
  </si>
  <si>
    <t>Effective Pattern Discovery For Taxt Mining Using PTM and PDM</t>
  </si>
  <si>
    <t>A Novel Multimodal Deep Neural Network Framework for Extending Knowledge Base</t>
  </si>
  <si>
    <t>A Summarization System for Scientific Documents</t>
  </si>
  <si>
    <t>Sl.NO</t>
  </si>
  <si>
    <t>Remarks</t>
  </si>
  <si>
    <t>Short-text discipline classification using RAG; no epistemic change.</t>
  </si>
  <si>
    <t>Uses LLMs and text mining for knowledge extraction, but not epistemic change.</t>
  </si>
  <si>
    <t>Bibliographic Text-to-SQL retrieval system; not knowledge evolution.</t>
  </si>
  <si>
    <t>Citation context analysis rather than epistemic change.</t>
  </si>
  <si>
    <t>Bibliometric topic modeling without LLMs.</t>
  </si>
  <si>
    <t>Focuses on knowledge-aware citation recommendation using knowledge graphs and graph neural networks. It does not use Large Language Models or study epistemic change.</t>
  </si>
  <si>
    <t>Evaluates topic modeling techniques (LDA and NMF) on short-text datasets. It is about topic quality evaluation, not LLMs or epistemic change in scientific publications.</t>
  </si>
  <si>
    <t>Systematic review of RDF triple generation and knowledge graph construction from natural language text. Although it discusses knowledge evolution in knowledge graphs, it does not use LLMs to identify epistemic change in scientific publications</t>
  </si>
  <si>
    <t>Uses Large Language Models together with text mining and bibliometric analysis to investigate how research topics evolve over time. This closely matches your research objective.</t>
  </si>
  <si>
    <t>Uses ontology-based prompt tuning and LLMs for news article summarization. It is an NLP application and does not analyze epistemic change, knowledge evolution, or scientific publications.</t>
  </si>
  <si>
    <t>Discusses conversational bibliographic search and information retrieval, not epistemic change using LLMs.</t>
  </si>
  <si>
    <t>Reviews bibliometric analysis, science mapping and text mining, but not LLM-based epistemic change identification</t>
  </si>
  <si>
    <t>Uses Word2Vec for keyword/domain analysis rather than LLMs or epistemic chang</t>
  </si>
  <si>
    <t>Focuses on short-text similarity using BERT; unrelated to bibliometric epistemic change analysis.</t>
  </si>
  <si>
    <t>Focuses on automating systematic literature reviews with NLP/text mining, not epistemic change.</t>
  </si>
  <si>
    <t>Focuses on text mining to analyze research papers, but does not study epistemic change or knowledge evolution.</t>
  </si>
  <si>
    <t>This paper builds a tool that automatically assigns research topics to scientific papers using an ontology and metadata (title, abstract, keywords). It does not use LLMs and does not study epistemic change</t>
  </si>
  <si>
    <t>Applies LLMs for scientific document understanding but not for identifying epistemic change.</t>
  </si>
  <si>
    <t>Develops citation-supported LLM generation (ALCE benchmark). Concerned with factuality and citations, not knowledge evolution</t>
  </si>
  <si>
    <t>Detects research topics using ontology and text mining. Does not involve LLMs or epistemic change</t>
  </si>
  <si>
    <t>This paper reviews more than 260 scientific LLMs developed for different scientific fields, It explains how these LLMs are trained and where they are used. it never studies how scientific knowledge changes</t>
  </si>
  <si>
    <t>This paper develops a system that recommends relevant references using SciBERT and semantic analysis, , not to study knowledge evolution or epistemic change.</t>
  </si>
  <si>
    <t>This paper trains language models using citation networks and document relationships so that they better understand scientific documents.</t>
  </si>
  <si>
    <t>This paper uses GPT and Llama to extracts information from papers but does not identify epistemic change</t>
  </si>
  <si>
    <t>It is about building a better language model for scientific text, not about identifying changes in scientific knowledge.</t>
  </si>
  <si>
    <t>It explains how computers compare the meanings of texts, but it does not study epistemic change and does not focus on LLMs</t>
  </si>
  <si>
    <t>This paper develops methods to distinguish authors who have similar names in bibliographic databases.</t>
  </si>
  <si>
    <t>It is about entity linking in general NLP, not scientific literature, LLM-based full-text analysis, or epistemic change.</t>
  </si>
  <si>
    <t>This paper reads the full text of scientific papers to find algorithms (e.g., Support Vector Machine, Decision Tree), but it does not use LLMs and does not identify epistemic change.</t>
  </si>
  <si>
    <t>Uses SciBERT and text mining for topic analysis but does not explicitly mention epistemic change or knowledge evolution</t>
  </si>
  <si>
    <t>The paper uses GPT-3 to discover research topics and emerging themes in scientific publications. This is close to studying how knowledge evolves.</t>
  </si>
  <si>
    <t>This paper improves question-answering systems. It is not about research papers or knowledge evolution.</t>
  </si>
  <si>
    <t>It explains how text mining can be used in public health. It is unrelated to your research question.</t>
  </si>
  <si>
    <t>it improves topic modeling for short texts, but it is not about scientific knowledge evolution or LLMs.</t>
  </si>
  <si>
    <t>It is a tutorial that teaches topic modeling. It is not a research study on your topic.</t>
  </si>
  <si>
    <t>The paper studies scholarly knowledge, mentions knowledge evolution, and evaluates ChatGPT. It is closely related but not directly about identifying epistemic change</t>
  </si>
  <si>
    <t>This paper directly studies how scientific disciplines evolve using text mining. It is highly relevant to epistemic change but does not use LLMs.</t>
  </si>
  <si>
    <t>This paper reviews scientific paper summarization. It is unrelated to identifying epistemic change.</t>
  </si>
  <si>
    <t>Scientific document recommendation using contrastive learning. Does not identify epistemic change or use LLMs</t>
  </si>
  <si>
    <t>Bibliometric exploration of automatic summarization research using topic modeling. The study analyzes research trends and collaborations but does not identify epistemic change and does not employ LLMs.</t>
  </si>
  <si>
    <t>Proposes a knowledge-augmented language model for scholarly text classification. Focus is knowledge injection and classification, not epistemic change.</t>
  </si>
  <si>
    <t>Named entity disambiguation in knowledge graphs using semantic similarity. Unrelated to scientific knowledge evolution or epistemic change.</t>
  </si>
  <si>
    <t>Journal recommendation system using Doc2Vec and XGBoost. Focuses on journal recommendation rather than epistemic change or LLMs.</t>
  </si>
  <si>
    <t>Proposes ruSciBERT, a Russian scientific language model for semantic embeddings, citation prediction, and scientific text representation. The focus is improving language representations rather than identifying epistemic change or knowledge evolution</t>
  </si>
  <si>
    <t>Introduces a Variational Graph Author Topic Model (VGATM) for topic modeling using authorship and venue information. Although it discovers latent research topics, it does not study knowledge evolution or use LLMs.</t>
  </si>
  <si>
    <t>Introduces a scientific paper summarization dataset for generating structured summaries. The focus is summarization, not epistemic change or knowledge evolution</t>
  </si>
  <si>
    <t>Uses K-means topic modeling to discover topics from text documents. It does not analyze knowledge evolution or use LLMs.</t>
  </si>
  <si>
    <t>Recommends keywords for scientific datasets using metadata. It focuses on metadata annotation rather than epistemic change or LLM-based full-text analysis</t>
  </si>
  <si>
    <t>Recommends related scientific papers using co-citation analysis. It focuses on literature recommendation, not identifying epistemic change or using LLMs</t>
  </si>
  <si>
    <t>Identifies and predicts interdisciplinary research topics from scientific literature using text mining and bibliometric methods. It studies how research topics evolve but does not use LLMs.</t>
  </si>
  <si>
    <t>Recommends news citations using word embeddings and knowledge graphs. It is about news articles, not scientific publications or epistemic change</t>
  </si>
  <si>
    <t>Proposes scientific document summarization using citation context. It discusses epistemic value drift in citations and analyzes full scientific papers, but its main goal is summarization rather than identifying epistemic change with LLMs.</t>
  </si>
  <si>
    <t>Uses LDA topic modeling to analyze how research topics in Knowledge Organization change over time. It studies knowledge evolution but does not use LLMs</t>
  </si>
  <si>
    <t>Uses full-text scientific papers to extract research facets and visualize how research topics and trends change over time. It studies research evolution but does not use LLMs.</t>
  </si>
  <si>
    <t>It analyzes scientific literature and topic evolution, but it is not based on LLMs.</t>
  </si>
  <si>
    <t>Predicts the future impact and evolution of scientific concepts using full-text features from millions of scientific papers. It studies scientific concept evolution, which is closely related to knowledge evolution, but it does not use LLMs.</t>
  </si>
  <si>
    <t>Explains methods for measuring semantic similarity between texts. It is a general text-mining paper and does not study epistemic change</t>
  </si>
  <si>
    <t>Improves citation recommendation using rhetorical analysis of scientific papers. It focuses on finding relevant citations, not on knowledge evolution</t>
  </si>
  <si>
    <t>Uses discourse facets from full-text scientific articles for citation recommendation. It helps retrieve related papers but does not study knowledge evolution or epistemic change.</t>
  </si>
  <si>
    <t>Applies NLP to source code authorship identification. It is unrelated to scientific publications, bibliometric analysis, or knowledge evolution.</t>
  </si>
  <si>
    <t>t analyzes full-text publications using an LLM-based model, it does not identify knowledge evolution or epistemic change.</t>
  </si>
  <si>
    <t>Builds a knowledge-based text summarization system using NLP and ontology (Cyc). It summarizes documents but does not analyze scientific knowledge evolution.</t>
  </si>
  <si>
    <t>Performs aspect-based citation sentiment analysis to understand citation opinions. It analyzes citation sentiment, not epistemic</t>
  </si>
  <si>
    <t>Discusses pattern discovery, text mining, pattern deployment (PDM), and pattern co-occurrence (PCM). It focuses on information retrieval and text mining, not LLMs or epistemic change</t>
  </si>
  <si>
    <t>Proposes a multimodal deep neural network to extend a knowledge base using free text. Although it uses deep learning, it is not based on LLMs and does not analyze scientific publications or epistemic change</t>
  </si>
  <si>
    <t>Presents an extractive summarization system for scientific papers. It summarizes full-text scientific documents but does not study knowledge evolution or epistemic change, and it is not based on LLMs.</t>
  </si>
  <si>
    <t>SEMANTIC GRAPH KNOWLEDGE REPRESENTATION FOR AL-QURAN VERSES BASED ON WORD DEPENDENCIES</t>
  </si>
  <si>
    <t>Quantifying hot topic dynamics in scientific literature: An information-theoretical approach</t>
  </si>
  <si>
    <t>uses BERT/KeyBERT and studies conceptual change, but analyzes discussion forum posts-not full-text scientific publications.</t>
  </si>
  <si>
    <t>Google Scholar</t>
  </si>
  <si>
    <t>An Adaptive Knowledge-Based Decision-Support Framework for ESG-Oriented Innovation Portfolio Optimization in Road Transport Systems</t>
  </si>
  <si>
    <t>the paper does not use LLM or transfer based models.</t>
  </si>
  <si>
    <t>Automatic Grading and Feedback for Students' Short Written Responses</t>
  </si>
  <si>
    <t>The document is a policy/report publication about suicide prevention, not an AI or NLP research paper. It contains no LLM-based analysis and no study of epistemic change in scientific literature.</t>
  </si>
  <si>
    <t>Transfer Learning for Explainable AI in Clinical LLMs</t>
  </si>
  <si>
    <t>Combining knowledge graphs and large language models</t>
  </si>
  <si>
    <t>Uses NLP/text mining methods but does not use LLMs and does not analyze full-text scientific publications.</t>
  </si>
  <si>
    <t>DKC-LLM: Dynamic Knowledge Caching for Large Language Models in Business Applications</t>
  </si>
  <si>
    <t>it does not specifically use LLMs and don’t analyse full-text scientific publications.</t>
  </si>
  <si>
    <t>Science, Engineering Management and Information Technology: Second International Conference, SEMIT 2023, Ankara, Turkey, September 14–15, 2023 …</t>
  </si>
  <si>
    <t>The Decentralized AI Ecosystem in Healthcare: A Systematic Review of Technologies, Governance, and Implementation</t>
  </si>
  <si>
    <t>Systematic Literature Review on Evolvable Knowledge Graphs in Manufacturing</t>
  </si>
  <si>
    <t>Uses LLMs (SciBERT/generative LLMs) to analyze scientific publication texts and explicitly forecast scientific knowledge evolution. Includes full-text mining of publications where available.</t>
  </si>
  <si>
    <t>The paper discusses how LLMs and knowledge graphs can be integrated for reasoning and knowledge representation. It does not analyze full-text scientific publications or identify epistemic change / knowledge evolution in literature.</t>
  </si>
  <si>
    <t>MAPPING THE PSYCHOLOGY OF MASSTIGE BRAND ADOPTION, A BIBLIOMETRIC ANALYSIS (2003-2025).</t>
  </si>
  <si>
    <t>Selective Forgetting in Machine Learning and Beyond: A Survey</t>
  </si>
  <si>
    <t>The paper discusses GenAI research evolution and includes LLMs (GPT, ChatGPT, transformers), but it performs scientometric analysis using metadata/abstracts, not full-text publication analysis. It studies thematic evolution of the field, which is related to knowledge evolution but not direct epistemic change.</t>
  </si>
  <si>
    <t>Artificial intelligence in cross-border e-commerce: From value chain optimization to compliance-as-a-service</t>
  </si>
  <si>
    <t>System and method for enterprise hierarchical persistent cognitive machines with organizational hierarchy awareness and compliance integration</t>
  </si>
  <si>
    <t>Self-Evolving Multi-Agent Fuzzing for Industrial IoT with Knowledge-Driven Cognitive Reasoning</t>
  </si>
  <si>
    <t>TopoMAS: Large Language Model Driven Topological Materials Multi‐Agent System</t>
  </si>
  <si>
    <t>The application of the MDATA cognitive model in open source intelligence analysis</t>
  </si>
  <si>
    <t>Digital Innovations in Patient-Centered Care: The Emerging Role of Natural Language Processing</t>
  </si>
  <si>
    <t>Social-support-aware dialogue recognition in mobile instant messaging online health communities</t>
  </si>
  <si>
    <t>EAGER: Live Reality: Sustainable and Up-to-Date Information Quality in Live Social Media through Continuous Evidence-Based Knowledge Acquisition</t>
  </si>
  <si>
    <t>Persistent homology centrality improves link prediction performance in Pubmed co-occurrence networks</t>
  </si>
  <si>
    <t>Automatic user story generation: a comprehensive systematic literature review</t>
  </si>
  <si>
    <t>Automating Research Problem Framing and Exploration Through Knowledge Extraction From Bibliometric Data</t>
  </si>
  <si>
    <t>Using implementation science to evaluate a population-wide genomic screening program: Findings from the first 20,000 In Our DNA SC participants</t>
  </si>
  <si>
    <t>How urgent environmental challenges and tech advancements reshape commercial food systems: A bibliometric analysis leveraging natural-language processing</t>
  </si>
  <si>
    <t>Construction over operation? A study of the usage of digital humanities databases in China</t>
  </si>
  <si>
    <t>iredev: A knowledge-driven multi-agent framework for intelligent requirements development</t>
  </si>
  <si>
    <t>Gender as a Challenge: Developing and Inequality Framework for Strategic Communication</t>
  </si>
  <si>
    <t>The Future of Knowledge: AI as a Living Publication and the Evolution of Research Dissemination</t>
  </si>
  <si>
    <t>From Large Language Models to Agentic AI in Industry 5.0 and the Post-ChatGPT Era: A Socio-Technical Framework and Review on Human–Robot …</t>
  </si>
  <si>
    <t>ORKG ASK Deep Research: Enhancing Scientific Search through LLM-based Reasoning over Research Papers</t>
  </si>
  <si>
    <t>Uses BERT, BERTopic, and GPT-4o to analyze publication metadata and study knowledge evolution. However, it analyzes titles, abstracts, keywords, and bibliometric metadata—not the full text of scientific publications.</t>
  </si>
  <si>
    <t>Semantic network analysis in social sciences</t>
  </si>
  <si>
    <t>A multi‐source fusion and dynamic verification framework for scientific knowledge graph construction: Methods, evaluation, and applications</t>
  </si>
  <si>
    <t>The paper does not use Large Language Models or transformer-based NLP models. It also does not analyze full-text scientific publications for epistemic or knowledge evolution.</t>
  </si>
  <si>
    <t>The economics of infectious disease</t>
  </si>
  <si>
    <t>Mapping the Green Aviation: A Bibliometric Analysis of Green Aviation Research (1900—2025)</t>
  </si>
  <si>
    <t>From Information Transmission to Cognitive Scaffolding: Mechanisms and Effects of Large Language Model-Assisted Modules in Patient-AI Consultations</t>
  </si>
  <si>
    <t>TDCSA: LLM-Guided Top-Down Approach for Robust Citation Sentiment Analysis</t>
  </si>
  <si>
    <t>A survey of conversational search</t>
  </si>
  <si>
    <t>uss LDA modelling, not LLMs. Studies reaserch evolution but only on abstracts, not full-text paoers</t>
  </si>
  <si>
    <t>Cognition, horizon and practice: formation of the nonsynchronism in theoretical research of information science</t>
  </si>
  <si>
    <t>uses GPT-4o/RAGfor software license compliance analysis only.</t>
  </si>
  <si>
    <t>An auditable and source-verified framework for clinical AI decision support: integrating retrieval-augmented generation with data provenance</t>
  </si>
  <si>
    <t>EAP in a changing world: Towards a new research agenda</t>
  </si>
  <si>
    <t>ProVe: A pipeline for automated provenance verification of knowledge graphs against textual sources</t>
  </si>
  <si>
    <t>De Gruyter Handbook of Digital Cultures</t>
  </si>
  <si>
    <t>Decoding GenAI Assimilation in Teams: A Multi-Method Study of GenAI's Impact on Collaborative Performance in Project-Based Work</t>
  </si>
  <si>
    <t>L'uso sovversivo del linguaggio triviale femminile. Una tappa nel percorso verso la parità di genere</t>
  </si>
  <si>
    <t>Prediction of high-impact research: a historical review and research opportunities</t>
  </si>
  <si>
    <t>Um modelo de avaliação de impactos aplicado a subestações elétricas digitais</t>
  </si>
  <si>
    <t>Integrating Learning Context and Explainability in Educational Recommender Systems Using Markov Decision Process over Knowledge Graphs</t>
  </si>
  <si>
    <t>AIGC Technology in the Fintech Sector: An Analysis of Theme Evolution Based on the BERTopic Model</t>
  </si>
  <si>
    <t>Uses BERT/BERTopic for knowledge evolution analysis, but only on abstracts/metadata, not full texts.</t>
  </si>
  <si>
    <t>THE EVOLUTIONARY PATH OF HEALTH EXPENDITURE RESEARCH: UNVEILING DYNAMIC INSIGHTS THROUGH TOPIC MODELING</t>
  </si>
  <si>
    <t>Artificial Intelligence in Forensic Accounting: A Literature Review</t>
  </si>
  <si>
    <t>uses AI and mentions LLMs in forensic accounting</t>
  </si>
  <si>
    <t>A Technical Note on Bibliometric Analysis by Biblioshiny and VOSviewer</t>
  </si>
  <si>
    <t>uses LLMs such as BERTand BERTopic for modelling topic evolution in scientific archives.</t>
  </si>
  <si>
    <t>Modeling topic evolution for scientific archives with deep learning</t>
  </si>
  <si>
    <t>Hospitality Research in Transition: Exploring Its Evolution and Future Research Agenda Through Generative AI</t>
  </si>
  <si>
    <t>uses LLMs such as BERTand BERT to analyze topic evolution,emerging topics and paradigm shifts in scientific literature.</t>
  </si>
  <si>
    <t>The impact of the creative performance of agricultural heritage systems on tourists' cultural identity: A dual perspective of knowledge transfer and novelty …</t>
  </si>
  <si>
    <t>The evolving role of large language models in scientific innovation: Evaluator, collaborator, and scientist</t>
  </si>
  <si>
    <t>The 3rd International Conference on Advancing Sustainable Futures (ICASF 2025)</t>
  </si>
  <si>
    <t>A framework for generative intelligent process design of aviation riveting based on transformer-based multimodal information fusion</t>
  </si>
  <si>
    <t>this is a conference proceedings volume,not a research study on LLM based analysis of scientific publications</t>
  </si>
  <si>
    <t>Knowledge enablers and barriers in generative AI adoption: educator perspectives from higher education</t>
  </si>
  <si>
    <t>Emergence and Evolution of 'Big Data'Research: A 30-Year Scientometric Analysis of the Knowledge Field</t>
  </si>
  <si>
    <t>Toward Explainable and Automated Software License Checking via RAG and Knowledge Graphs</t>
  </si>
  <si>
    <t>LLM-S2KG: LLM-Based Semantic–Structural Dual Knowledge Graph</t>
  </si>
  <si>
    <t>Improving Biomedical Knowledge Graph Construction through Large Language Model Driven Literature Mining and Semantic Relationship Extraction</t>
  </si>
  <si>
    <t>Understanding teams and productivity in information retrieval research: Academia, industry, and cross-community collaborations</t>
  </si>
  <si>
    <t>Generating Survey Hint-Net from Multiple Academic Papers with Cite-Clues</t>
  </si>
  <si>
    <t>Beyond Human-Led Knowledge: A Hybrid Intelligence Mode for Dynamic Capabilities Evolution</t>
  </si>
  <si>
    <t>Ai meets brain: Memory systems from cognitive neuroscience to autonomous agents</t>
  </si>
  <si>
    <t>uses LLMs to process full text scientific papers. Explicitly models knowledge evolution over time using evolving literature to generate hypotheses.</t>
  </si>
  <si>
    <t>A Cultural-Historical Activity Theory-anchored Learning Analytics Pipeline for Early Detection and Social-Epistemic Integration in AI Literacy Education</t>
  </si>
  <si>
    <t>Generative AI in Chemical Education: A Bibliometric Perspective</t>
  </si>
  <si>
    <t>Continuous Knowledge Metabolism: Generating Scientific Hypotheses from Evolving Literature</t>
  </si>
  <si>
    <t>Tracking the dynamic evolution of lithium-ion battery recycling technology using natural language processing</t>
  </si>
  <si>
    <t>The global knowledge evolution of carbon capture, utilization, and storage technology: A network analysis of patent mining</t>
  </si>
  <si>
    <t>highly relevent for knowledge evolution using LLMs like models (BERT) , but it fails strict inclusion.</t>
  </si>
  <si>
    <t>Measuring the interdisciplinary characteristics of Chinese research in library and information science based on knowledge elements</t>
  </si>
  <si>
    <t>Papal schism, archiepiscopal politics and Waldensian Persecution (1378–1396): The ecclesio-political landscape of late fourteenth-century Mainz</t>
  </si>
  <si>
    <t>Identifying Disruptive Technologies via Dynamic Hypergraph Modeling and Large Language Models</t>
  </si>
  <si>
    <t>uses LLMs to model knowledge recombination and evolution in scientific literature.However it, mainly analyzes titles,abstracts,citation networks, and patents, not the full texts of publications.</t>
  </si>
  <si>
    <t>From Literature Mining to Reaction Prediction and Mechanistic Investigation: An AI-Agent Framework for Microdroplet Chemistry</t>
  </si>
  <si>
    <t>uses LLLMs(Gemini/GPT) to mine and structue full-text scientific literature, studies knowledge evolution in microdroplet chemistry, but does not explicitly identify epistemic change.</t>
  </si>
  <si>
    <t>Agentic AI for substance use education: Integrating regulatory and scientific knowledge sources</t>
  </si>
  <si>
    <t>uses LLM for educational Q&amp;A only, not for detecting epistemic change.</t>
  </si>
  <si>
    <t>GenAI: a scientometric analysis of research trends using biblioshiny and VOSviewer</t>
  </si>
  <si>
    <t>A Bibliometric Analysis of Music's Role in Promoting Well-Being in Health Science Research</t>
  </si>
  <si>
    <t>Discusses AI/LLMs and their impact on scientific knowledge production, so it is conceptually related to epistemic change.</t>
  </si>
  <si>
    <t>Artificial Intelligence, between the global and the national: Beyond fictional metrics</t>
  </si>
  <si>
    <t>Response: Or, Affective and Somatic Reading Field Notes; Or, Prefatory Exhortations on How to Read this Special Issue on Theological Ethnography and Genre</t>
  </si>
  <si>
    <t>Mining textual fields from patent documents: systematic review</t>
  </si>
  <si>
    <t>The paper discusses LLMs (e.g., BERT, GPT, patent-specific LLMs) for patent text mining and mentions technology/knowledge evolution. However, it analyzes patent documents, not full-text scientific publications.</t>
  </si>
  <si>
    <t>Strategic Management Knowledge Map via BERTopic (1980–2025): Evolution, Integration, and Application</t>
  </si>
  <si>
    <t>Uses Sentence-BERT / BERTopic (Transformer-based LLM-family models) to analyze a large corpus and explicitly studies knowledge evolution/topic evolution in strategic management. However, it analyzes titles, abstracts, and keywords only, not full-text publications.</t>
  </si>
  <si>
    <t>Journal of Industrial Information Integration</t>
  </si>
  <si>
    <t>does not study epistemic change or knowledge evolution in scientific publications.</t>
  </si>
  <si>
    <t>Practices, opportunities and challenges in the fusion of knowledge graphs and large language models</t>
  </si>
  <si>
    <t>From reductionism to complex systems: Paradigm shift and knowledge evolution in competitive sports research using BERTopic</t>
  </si>
  <si>
    <t>Building human digital twins through natural language processing: from conversations to knowledge</t>
  </si>
  <si>
    <t>Professor's Use of Artificial Intelligence Technology for Student Creativity Enhancement</t>
  </si>
  <si>
    <t>Language-Model Agents Reveal How Demand, Network and Collaboration Dynamics Shape Collective Innovation</t>
  </si>
  <si>
    <t>Forecasting the Evolution of Scientific Knowledge: A Dynamic Knowledge Graph Approach Integrating Temporal Embeddings and Large Language Models</t>
  </si>
  <si>
    <t>Graphonauts: Introducing a Hybrid Human-AI Pipeline for Text-to-Game Transformation via Knowledge Graphs</t>
  </si>
  <si>
    <t>Uses Claude (LLM) to analyze a full-text ethnographic book and build knowledge graphs, but does not identify epistemic change in scientific publications.</t>
  </si>
  <si>
    <t>Research on the Construction and Application Path of Knowledge Base System in the Oil and Gas Industry</t>
  </si>
  <si>
    <t>A Scalable TADGLN LSTM Framework for Modeling Bibliometric Research Drift and Analyzing Research Trends</t>
  </si>
  <si>
    <t>Toward community-based natural language processing (CBNLP): cocreating with communities</t>
  </si>
  <si>
    <t>ChatGPT ranking of business and management journals with article quality scores</t>
  </si>
  <si>
    <t>Interfirm collaboration networks: The impact of large-scale network structure on firm innovation</t>
  </si>
  <si>
    <t>Humane education: A study on the effectiveness of a humane education curriculum with fifth grade students in public schools</t>
  </si>
  <si>
    <t>this paper studies humane education curriculum in schools and does not use LLms.</t>
  </si>
  <si>
    <t>National Strategy for Suicide Prevention: Goals and Objectives for Action.</t>
  </si>
  <si>
    <t>Global evolution of ferroptosis research: a comprehensive bibliometric analysis of publication trends, geographic patterns, pharmacological innovation, and …</t>
  </si>
  <si>
    <t>Unveiling the Unspoken: A Conceptual Framework for AI-Enabled Tacit Knowledge Co-Evolution</t>
  </si>
  <si>
    <t>Reviews AI-based tacit knowledge research and proposes a knowledge co-evolution framework. It does not use LLMs or analyze the full text of scientific publications.</t>
  </si>
  <si>
    <t>Advancing multi-agent systems through model context protocol: Architecture, implementation, and applications</t>
  </si>
  <si>
    <t>Proposes a framework for multi-agent systems using the Model Context Protocol. It does not use LLMs to identify epistemic change or analyze the full text of scientific publications.</t>
  </si>
  <si>
    <t>When Facts Change: Probing LLMs on Evolving Knowledge with evolveQA</t>
  </si>
  <si>
    <t>Evaluates how LLMs handle evolving knowledge using time-stamped benchmark datasets. It does not analyze the full text of scientific publications.</t>
  </si>
  <si>
    <t>Fragmentation of care: a major challenge for older people living with multimorbidity</t>
  </si>
  <si>
    <t>Discusses challenges in healthcare coordination for older adults with multimorbidity. It does not use LLMs or analyze scientific publications to identify epistemic change.</t>
  </si>
  <si>
    <t>Advances in sustainable additive manufacturing: a systematic review for construction industry to mitigate greenhouse gas emissions</t>
  </si>
  <si>
    <t>Systematic review of additive manufacturing in construction sustainability and GHG reduction; no LLM usage, no epistemic change/knowledge evolution focus, and no full-text publication analysis.</t>
  </si>
  <si>
    <t>Educating primary care physicians about eating disorders: Pilot data from a microlearning programme</t>
  </si>
  <si>
    <t>Evaluates a microlearning program for training primary care physicians about eating disorders. It does not use LLMs or analyze scientific publications to identify epistemic change.</t>
  </si>
  <si>
    <t>Towards a Reference Model for an Information Extraction Lifecycle supporting Data Collection, Data Preparation, Information Extraction, Information …</t>
  </si>
  <si>
    <t>Proposes a reference model for information extraction and knowledge organization. It does not use LLMs or analyze the full text of scientific publications to identify epistemic change.</t>
  </si>
  <si>
    <t>Universal representation learning of geographic knowledge graph by jointly embedding instances and ontology concepts</t>
  </si>
  <si>
    <t>Online reviews in e-commerce: A bibliometric analysis of consumer decision-making</t>
  </si>
  <si>
    <t>Uses bibliometric analysis to study online review research and consumer decision-making. It only suggests LLMs as future work and does not analyze the full text of scientific publications.</t>
  </si>
  <si>
    <t>Knowledge graph and its application in the study of neurological and mental disorders</t>
  </si>
  <si>
    <t>Reviews knowledge graph applications in neurological and mental disorder research. It does not use LLMs or analyze the full text of scientific publications to identify epistemic change.</t>
  </si>
  <si>
    <t>Challenging scientific categorizations through Dispute Learning</t>
  </si>
  <si>
    <t>Studies scientific categorization and knowledge development through dispute learning and graph-based reasoning. It does not use LLMs or analyze the full text of scientific publications.</t>
  </si>
  <si>
    <t>Come genere sessuale ed età plasmano la percezione dei trailer: un approccio neurocinematico</t>
  </si>
  <si>
    <t>Words of Wisdom: A Journey through the Realm of Natural Language Processing for Learning Analytics--A Systematic Literature Review.</t>
  </si>
  <si>
    <t>Reviews NLP methods in learning analytics and notes the increasing use of BERT. It does not study epistemic change or analyze the full text of scientific publications.</t>
  </si>
  <si>
    <t>Where is AIED Headed? Key Topics and Emerging Frontiers (2020-2024)</t>
  </si>
  <si>
    <t>Maps the evolution of research topics and emerging frontiers in AIED using keyword co-occurrence analysis. It discusses LLMs as a research topic but does not use LLMs or analyze the full text of scientific publications.</t>
  </si>
  <si>
    <t>Generative Systems and Intelligent Tutoring Systems: 21st International Conference, ITS 2025, Alexandroupolis, Greece, June 2–6, 2025, Proceedings, Part I</t>
  </si>
  <si>
    <t>Computational Analysis of Scientific Literature for Modeling Knowledge Evolution, Linking Hypotheses to Evidence, and Evaluating Model Integrity</t>
  </si>
  <si>
    <t>Develops computational methods to model knowledge evolution and extract hypotheses and evidence from the full text of scientific publications. It also evaluates modern NLP/LLM-based methods for scientific knowledge synthesis.</t>
  </si>
  <si>
    <t>UMEval: a unified framework for explainable medical term semantic evaluation with large language models</t>
  </si>
  <si>
    <t>Uses LLMs to evaluate the semantic similarity of medical terms with knowledge augmentation. It does not identify epistemic change or analyze the full text of scientific publications.</t>
  </si>
  <si>
    <t>Billie Eilish intacita. Una presa di voce femminile sessuale giovanile intelligente</t>
  </si>
  <si>
    <t>Explainable AI-Based Semantic Retrieval from an Expert-Curated Oncology Knowledge Graph for Clinical Decision Support</t>
  </si>
  <si>
    <t>Uses an oncology knowledge graph for semantic retrieval and clinical decision support. It does not identify epistemic change or analyze the full text of scientific publications.</t>
  </si>
  <si>
    <t>From Fragmentation to Integration: A Reproducible NLP Protocol for Scalable Systematic Reviews in Management Research</t>
  </si>
  <si>
    <t>Uses transformer-based NLP methods to improve systematic literature reviews by identifying themes and conceptual relationships. It is related to knowledge synthesis but does not explicitly identify epistemic change or analyze the full text of scientific publications.</t>
  </si>
  <si>
    <t>From data to actionable knowledge: AI-AR integration framework for industrial knowledge management</t>
  </si>
  <si>
    <t>Uses AI, NLP, and AR to support industrial knowledge management and maintenance. It does not identify epistemic change or analyze the full text of scientific publications.</t>
  </si>
  <si>
    <t>The transformative nature of AI on academic scholarship: The emergence of an AI-Enabled Scholarship Divide</t>
  </si>
  <si>
    <t>Large language models to process, analyze, and synthesize biomedical texts: a scoping review</t>
  </si>
  <si>
    <t>Reviews the use of LLMs for biomedical NLP tasks such as text mining and evidence synthesis. It does not identify epistemic change or analyze the full text of scientific publications.</t>
  </si>
  <si>
    <t>Charting the evolution of neuro-symbolic AI in cybersecurity: a scientometric perspective</t>
  </si>
  <si>
    <t>Uses scientometric analysis to examine the evolution of neuro-symbolic AI research in cybersecurity. It studies research evolution but does not use LLMs or analyze the full text of scientific publications.</t>
  </si>
  <si>
    <t>Mapping the Evolution of Research Contributions using KnoVo</t>
  </si>
  <si>
    <t>ANELIA</t>
  </si>
  <si>
    <t>The generation of tourism knowledge by language model-based AI: A call for a more critical perspective</t>
  </si>
  <si>
    <t>Discusses the use of ChatGPT for tourism research and knowledge generation. It does not identify epistemic change or analyze the full text of scientific publications.</t>
  </si>
  <si>
    <t>LLM-powered Real-time Patent Citation Recommendation for Financial Technologies</t>
  </si>
  <si>
    <t>Uses LLMs to recommend patent citations based on patent abstracts. It does not identify epistemic change or analyze the full text of scientific publications.</t>
  </si>
  <si>
    <t>Exploring science teachers' questioning patterns for learning support through a computational grounded theory approach</t>
  </si>
  <si>
    <t>A Symmetric Fault Diagnosis Method for Power Batteries Based on Digital Battery Passport and Knowledge Graph-Fuzzy Bayesian Network</t>
  </si>
  <si>
    <t>Uses BERT to extract information from Digital Battery Passport text for battery fault diagnosis. It does not identify epistemic change or analyze the full text of scientific publications.</t>
  </si>
  <si>
    <t>The diff-first approach: agentic AI for cross-type transition training</t>
  </si>
  <si>
    <t>Discursive parallels of the chemical revolution: Topic modelling and distributional analysis</t>
  </si>
  <si>
    <t>Although this paper studies conceptual change in scientific writing, it does not use Large Language Models (LLMs), which is a core requirement of your SLR.</t>
  </si>
  <si>
    <t>Semantic Similarity Analysis of Scientific Papers in Scholarly Knowledge Graphs</t>
  </si>
  <si>
    <t>This paper focuses on semantic similarity analysis and knowledge graph evolution, not on epistemic change detection in scientific publications using LLMs through full-text analysis.</t>
  </si>
  <si>
    <t>Teaching the Teachers: A Systematic Review of GenAI-specific Technological Pedagogical Knowledge (TPK) in Teacher Education</t>
  </si>
  <si>
    <t>Reviews the use of Generative AI (e.g., ChatGPT) in teacher education, focusing on teachers' technological pedagogical knowledge (TPK), ethical considerations, and professional development. It does not identify epistemic change or knowledge evolution, nor does it analyze the full text of scientific publications for epistemic change detection.</t>
  </si>
  <si>
    <t>Cultural Analytics: Methods, Biases, and Interpretability in the Humanities</t>
  </si>
  <si>
    <t>An STS-Informed Dual-Layer Typology of Qualitative Research on Digital Transformation in Management Accounting and Control</t>
  </si>
  <si>
    <t>Does not use LLMs, identify epistemic change, or analyze the full text of scientific publications.</t>
  </si>
  <si>
    <t>A conversational intelligent assistant for enhanced operational support in floodplain management with multimodal data</t>
  </si>
  <si>
    <t>LLaMed: An Efficient Adaptation Framework for Medical Large Language Models Based on Low-Rank Adaptation and Dynamic Evidence Retrieval</t>
  </si>
  <si>
    <t>Toward Knowledge-Enhanced Geohazard Intelligence: A Review of Knowledge Graphs and Large Language Models</t>
  </si>
  <si>
    <t>Uses LLMs for geohazard knowledge representation and reasoning, not for epistemic change detection or full-text analysis of scientific publications.</t>
  </si>
  <si>
    <t>Topoi and topology of German-language history of education: Semantic network analysis based on textbooks (1779–1934)</t>
  </si>
  <si>
    <t>Uses LLMs and neuro-symbolic AI to extract knowledge and construct manufacturing knowledge graphs. It does not identify epistemic change or analyze the full text of scientific publications.</t>
  </si>
  <si>
    <t>Image Token Matters: Mitigating Hallucination in Discrete Tokenizer-based Large Vision-Language Models via Latent Editing</t>
  </si>
  <si>
    <t>RehabKD With LLM-KG-LDACX: Orchestrating AI Models for Rehabilitation Knowledge Discovery</t>
  </si>
  <si>
    <t>Uses LLMs, knowledge graphs, and topic modeling to discover and organize rehabilitation knowledge. It does not identify epistemic change or analyze the full text of scientific publications.</t>
  </si>
  <si>
    <t>LLMs on the Rise: Neuro-Symbolic AI for Knowledge Graph Construction in Manufacturing (Systematic Literature Review)</t>
  </si>
  <si>
    <t>Uses LLMs to extract knowledge from manufacturing documents for knowledge graph construction. It does not identify epistemic change or analyze the full text of scientific publications.</t>
  </si>
  <si>
    <t>A comprehensive scientometric analysis of ChatGPT research global trends and future prospects</t>
  </si>
  <si>
    <t>Large language model research: Knowledge structure, thematic evolution, and future research agenda</t>
  </si>
  <si>
    <t>Uses bibliometric analysis to examine the knowledge structure and thematic evolution of LLM research. It does not identify epistemic change or analyze the full text of scientific publications.</t>
  </si>
  <si>
    <t>Health Misinformation Detection: Approaches, Challenges and Opportunities</t>
  </si>
  <si>
    <t>Agricultural AI Agents: Architecture Design, Business Processes, Key Technologies, and Future Challenges</t>
  </si>
  <si>
    <t>Reviews AI agents for smart agriculture and discusses knowledge evolution as a future capability. It does not identify epistemic change or analyze the full text of scientific publications.</t>
  </si>
  <si>
    <t>Agent kb: Leveraging cross-domain experience for agentic problem solving</t>
  </si>
  <si>
    <t>Uses LLM-based agents and shared memory to improve agent problem solving. It does not identify epistemic change or analyze the full text of scientific publications.</t>
  </si>
  <si>
    <t>A bibliometric and altmetric analysis of global research on AI-empowering information resource management</t>
  </si>
  <si>
    <t>Analysis of the structure and time-series evolution of knowledge label network from a complex perspective</t>
  </si>
  <si>
    <t>A Dynamic Decision Support Framework Integrating Objective and Subjective Knowledge</t>
  </si>
  <si>
    <t>Uses LLMs for knowledge retrieval and decision support in engineering design. It does not identify epistemic change or analyze the full text of scientific publications.</t>
  </si>
  <si>
    <t>Tensor Manifold-Based Graph-Vector Fusion for AI-Native Academic Literature Retrieval</t>
  </si>
  <si>
    <t>Proposes a graph-vector fusion framework for AI-native academic literature retrieval. It does not use LLMs to analyze full-text scientific publications or identify epistemic change.</t>
  </si>
  <si>
    <t>Research on a Unified Transformation Model of Information Fields and Energy Fields Based on DIKWP Semantic Mathematics</t>
  </si>
  <si>
    <t>Facilitating human inclusion in the data science process: from capturing business requirements to designing an operational machine learning workflow</t>
  </si>
  <si>
    <t>A retrieval-augmented knowledge mining method with deep thinking LLMs for biomedical research and clinical support</t>
  </si>
  <si>
    <t>Uses LLMs to mine knowledge from large-scale scientific articles and improve retrieval and reasoning. It does not identify epistemic change or knowledge evolution.</t>
  </si>
  <si>
    <t>SciEvo: A 2 Million, 30-Year Cross-disciplinary Dataset for Temporal Scientometric Analysis</t>
  </si>
  <si>
    <t>Builds a large-scale scientometric dataset and analyzes the evolution of scientific knowledge and terminology over time. It does not use LLMs for the analysis.</t>
  </si>
  <si>
    <t>Keyword extraction from a single document using word co-occurrence statistical information</t>
  </si>
  <si>
    <t>Uses a statistical word co-occurrence method to extract keywords from a single document. It does not use LLMs or identify epistemic change or knowledge evolution.</t>
  </si>
  <si>
    <t>Entropy in science of science</t>
  </si>
  <si>
    <t>Uses entropy-based scientometric methods to analyze knowledge evolution and scientific research patterns. It does not use LLMs or analyze the full text of scientific publications.</t>
  </si>
  <si>
    <t>Knowledge-Based Artificial Intelligence System for Drug Prioritization</t>
  </si>
  <si>
    <t>Construction of dynamic knowledge graph for the production process of manufacturing enterprises</t>
  </si>
  <si>
    <t>Embracing ChatGPT for medical education: exploring its impact on doctors and medical students</t>
  </si>
  <si>
    <t>A century of knowledge growth in sedimentology</t>
  </si>
  <si>
    <t>Text mining and natural language processing in construction research: a scientometric analysis and qualitative review</t>
  </si>
  <si>
    <t>Uses entropy-based scientometric methods to analyze knowledge evolution and research patterns. It does not use LLMs or analyze the full text of scientific publications.</t>
  </si>
  <si>
    <t>Research on Fault Diagnosis Agent of Monorail Crane Based on Knowledge Graph and Lightweight Large Model</t>
  </si>
  <si>
    <t>Quantifying the impact of digital technology on enterprise processes using LLM-based causal claim networks</t>
  </si>
  <si>
    <t>Causal Knowledge Analytics: Using Mathematical Methods and Natural Language Processing to Analyze Causal Knowledge</t>
  </si>
  <si>
    <t>Uses NLP and knowledge analytics to analyze causal knowledge in scientific publications. It does not use LLMs or analyze the full text of scientific publications.</t>
  </si>
  <si>
    <t>A Survey of Agentic GraphRAG: From Retrieval-Augmented Generation to Graph-Native Agents</t>
  </si>
  <si>
    <t>Reviews Agentic GraphRAG and LLM-based retrieval methods. It does not identify epistemic change or analyze the full text of scientific publications.</t>
  </si>
  <si>
    <t>A Scientometric Review of Generative Artificial Intelligence Research in Tourism</t>
  </si>
  <si>
    <t>Uses scientometric methods to analyze the knowledge evolution of GenAI research in tourism. It does not use LLMs or analyze the full text of scientific publications.</t>
  </si>
  <si>
    <t>Artificial Intelligence in Cross-Border E-Commerce: From Value Chain Optimization to Compliance-as-a-Service</t>
  </si>
  <si>
    <t>Reviews AI adoption in cross-border e-commerce using literature review and bibliometric analysis. It does not use LLMs, identify epistemic change, or analyze the full text of scientific publications.</t>
  </si>
  <si>
    <t>Bibliometric and visualization analysis of human coronaviruses: prospects and implications for COVID-19 research</t>
  </si>
  <si>
    <t>Large Language Models Lack Temporal Awareness of Medical Knowledge</t>
  </si>
  <si>
    <t>Emerging Trends in Interactive Space: A Scientometric Analysis</t>
  </si>
  <si>
    <t>yes</t>
  </si>
  <si>
    <t>Uses scientometric analysis to study research trends and evolution in interactive space literature. It does not use LLMs or analyze full-text scientific publications.</t>
  </si>
  <si>
    <t>Advancing life cycle assessment of bio-based chemicals through artificial intelligence-driven data extraction</t>
  </si>
  <si>
    <t>Uses LLMs with knowledge graphs to extract LCA data from scientific literature and improve data synthesis. It does not explicitly identify epistemic change or knowledge evolution.</t>
  </si>
  <si>
    <t>Constraint-Driven Small Language Models Based on Agent and OpenAlex Knowledge Graph: Mining Conceptual Pathways and Discovering Innovation Points in …</t>
  </si>
  <si>
    <t>Uses small language models and knowledge graphs to extract key concepts and identify innovation points in academic papers. It does not analyze full-text scientific publications for epistemic change.</t>
  </si>
  <si>
    <t>CourtSim-LLM: fine-tuning large language models with multi-turn dialogues for chinese mock trials</t>
  </si>
  <si>
    <t>Large-Scale Multidimensional Knowledge Profiling of Scientific Literature</t>
  </si>
  <si>
    <t>Uses LLM-assisted parsing and large-scale literature analysis to model topic evolution and research trends, but does not explicitly focus on epistemic change detection using LLMs.</t>
  </si>
  <si>
    <t>A Roadmap for Modern Code Review: Challenges and Opportunities</t>
  </si>
  <si>
    <t>Discusses modern code review practices and generative AI impacts in software engineering, but does not study epistemic change/knowledge evolution in scientific publications or use full-text LLM-based analysis.</t>
  </si>
  <si>
    <t>Constructing Knowledge Base of Scientific and Technological Literature to Support AI for Science</t>
  </si>
  <si>
    <t>ResearchEVO: An End-to-End Framework for Automated Scientific Discovery and Documentation</t>
  </si>
  <si>
    <t>Proposes an LLM-driven system for automated scientific discovery and paper writing, but does not study epistemic change or knowledge evolution in scientific literature.</t>
  </si>
  <si>
    <t>INTELLIGENT ANALYSIS OF SCIENTIFIC AND TECHNOLOGICAL LITERATURE: A NEW PARADIGM FOR RESEARCH EFFICIENCY AND INSIGHT DISCOVERY</t>
  </si>
  <si>
    <t>Proposes a general intelligent literature analysis framework using NLP and ML, but does not use LLMs or study epistemic change or full-text publication analysis.</t>
  </si>
  <si>
    <t>Multiobjective Optimization-Based Subjective Probability Distribution Aggregation: A Survey</t>
  </si>
  <si>
    <t>Reviews evolution of subjective probability aggregation methods and bibliometric trends, but does not use LLMs or perform full-text analysis of scientific publications.</t>
  </si>
  <si>
    <t>Uses LLMs and text mining to study the evolution of scientific knowledge and research topics. It analyzes bibliographic text rather than the full text of publications</t>
  </si>
  <si>
    <t>Springer</t>
  </si>
  <si>
    <t>Partial</t>
  </si>
  <si>
    <t>Reviews applications of LLMs for biomedical text processing and evidence synthesis. It does not identify epistemic change or knowledge evolution in scientific publications.</t>
  </si>
  <si>
    <t>AI-powered classification and network analysis for knowledge mapping in medicine: a century of neurosyphilis research</t>
  </si>
  <si>
    <t>Uses GPT-4o to classify literature and explicitly analyzes the evolution of scientific knowledge through bibliometric and network analysis. The analysis is based on titles and abstracts, not full-text publications.</t>
  </si>
  <si>
    <t>Studies historical knowledge evolution using semantic network analysis on a large corpus of textbook full texts. It does not use LLMs but is strongly related through knowledge evolution and full-text analysis.</t>
  </si>
  <si>
    <t>World Congress on Osteoporosis, Osteoarthritis and Musculoskeletal Diseases (WCO-IOF-ESCEO 2023)</t>
  </si>
  <si>
    <t>The proceedings only mention ChatGPT as an example in one abstract. There is no study of epistemic change or full-text mining of scientific publications.</t>
  </si>
  <si>
    <t>A multi-source fusion and dynamic verification framework for scientific knowledge graph construction: Methods, evaluation, and applications</t>
  </si>
  <si>
    <t>Uses transformer-based language models (e.g., KG-BERT, domain-adaptive relation extraction) to construct scientific knowledge graphs from scientific resources, including full papers. It focuses on knowledge representation and discovery rather than explicitly identifying epistemic change.</t>
  </si>
  <si>
    <t>Wiley</t>
  </si>
  <si>
    <t>RCOG 2024</t>
  </si>
  <si>
    <t>Conference abstracts on obstetrics and gynecology. Although one abstract uses explainable AI for clinical prediction, it does not analyze scientific publications or knowledge evolution.</t>
  </si>
  <si>
    <t>2022 Scientific Program</t>
  </si>
  <si>
    <t>Proceedings of an ultrasound conference containing award summaries and research abstracts. It is unrelated to LLMs, epistemic change, or full-text mining of scientific literature.</t>
  </si>
  <si>
    <t>Abstract</t>
  </si>
  <si>
    <t>Proceedings containing pediatric gastroenterology abstracts. The papers do not use LLMs or study knowledge evolution or full-text analysis of scientific publications</t>
  </si>
  <si>
    <t>Uses LLMs to analyze the full text of rehabilitation publications and identifies topic evolution and knowledge discovery through knowledge graphs and LDA. However, it focuses on disciplinary knowledge mapping rather than explicitly identifying epistemic change.</t>
  </si>
  <si>
    <t>IEEE</t>
  </si>
  <si>
    <t>Tracking the Evolution of Words with Time-reflective Text Representations</t>
  </si>
  <si>
    <t>Negation Handling and Domain Generalization in Sentiment Analysis using Machine Learning Models</t>
  </si>
  <si>
    <t>Disease-Disease Relationships for Rheumatic Diseases: Web-Based Biomedical Textmining and Knowledge Discovery to Assist Medical Decision Making</t>
  </si>
  <si>
    <t>NLP-Crowdsourcing Hybrid Framework for Inter-Researcher Similarity Detection</t>
  </si>
  <si>
    <t>Elixir in Action, Third Edition</t>
  </si>
  <si>
    <t>Applying Sentiment Analysis on Children’s Stories</t>
  </si>
  <si>
    <t>LLMs in industrial domains: A systematic review of adaptation techniques and applications from the product lifecycle perspective.</t>
  </si>
  <si>
    <t>Embodied Conversational Agents Providing Motivational Interviewing to Improve Health-Related Behaviors: Scoping Review.</t>
  </si>
  <si>
    <t>This is a scoping review of embodied conversational agents for motivational interviewing in health. It does not appear to study epistemic change or analyze full texts of scientific publications using LLMs.</t>
  </si>
  <si>
    <t>Neuro-symbolic agentic AI: Architectures, integration patterns, applications, open challenges and future research directions</t>
  </si>
  <si>
    <t>Teaching the teachers: A systematic review of genAI-specific technological pedagogical knowledge (TPK) in teacher education</t>
  </si>
  <si>
    <t>This paper reviews the use of Generative AI (e.g., ChatGPT) in teacher education. It does not analyze full-text scientific publications or study epistemic change or knowledge evolution.</t>
  </si>
  <si>
    <t>Graph–language synergy in intelligent information systems: A systems-level review of GNN–LLM integration, GraphRAG, and knowledge-grounded reasoning</t>
  </si>
  <si>
    <t>PDF of Full Issue</t>
  </si>
  <si>
    <t>This document is a conference front matter listing committee members and reviewers. It does not present a research study or analyze LLMs, epistemic change, or full-text scientific publications.</t>
  </si>
  <si>
    <t>Teaching with intelligence; AI-enhanced pedagogies in nursing education A scoping review</t>
  </si>
  <si>
    <t>The review discusses generative AI and AI-assisted methods in nursing education. It does not analyze full-text scientific publications to identify epistemic change or knowledge evolution.</t>
  </si>
  <si>
    <t>The article requires purchase or subscription to access the full text, so it could not be screened.</t>
  </si>
  <si>
    <t>Science Direct</t>
  </si>
  <si>
    <t>Empowering Digital Transformation of Traditional Chinese Medicine with Knowledge Graph-Enhanced Large Language Models: Opportunities and Challenges</t>
  </si>
  <si>
    <t>Vertically Autoscaling Monolithic Applications with CaaSPER</t>
  </si>
  <si>
    <t>ACM Database Screening Summary</t>
  </si>
  <si>
    <t>Uses Knowledge Graph-enhanced Large Language Models for Traditional Chinese Medicine. It does not study epistemic change or knowledge evolution in scientific publications, nor does it analyze the full text of publications.</t>
  </si>
  <si>
    <t>Discusses the use of LLMs in journalism and editorial authority. It does not study epistemic change or knowledge evolution in scientific publications or analyze the full text of research papers.</t>
  </si>
  <si>
    <t>Reviews AI-assisted modern code review and discusses generative AI in software engineering. It does not study epistemic change or knowledge evolution in scientific publications or analyze the full text of research papers.</t>
  </si>
  <si>
    <t>Proposes a cloud resource autoscaling algorithm for Kubernetes applications. It does not use LLMs or study knowledge evolution by analyzing scientific publications.</t>
  </si>
  <si>
    <t>ACM</t>
  </si>
  <si>
    <t>Publications</t>
  </si>
  <si>
    <t>l</t>
  </si>
  <si>
    <t xml:space="preserve">✗ </t>
  </si>
  <si>
    <t xml:space="preserve">✓ </t>
  </si>
  <si>
    <t xml:space="preserve"> </t>
  </si>
  <si>
    <t>S.NO</t>
  </si>
  <si>
    <t>After ABSTRACT</t>
  </si>
  <si>
    <t>TILL ABSTRACT</t>
  </si>
  <si>
    <t xml:space="preserve">WOS </t>
  </si>
  <si>
    <t>Epistemic change</t>
  </si>
  <si>
    <t xml:space="preserve">Publications </t>
  </si>
  <si>
    <t>Google scholar</t>
  </si>
  <si>
    <t>Full text</t>
  </si>
  <si>
    <t>Willey</t>
  </si>
  <si>
    <t>WOS</t>
  </si>
  <si>
    <t>springer</t>
  </si>
  <si>
    <t xml:space="preserve">wiley </t>
  </si>
  <si>
    <t>science Direct</t>
  </si>
  <si>
    <t>TIlL Abstract</t>
  </si>
  <si>
    <t>After 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</si>
</sst>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sz val="11"/>
      <color theme="1"/>
      <name val="Arial"/>
      <family val="2"/>
      <scheme val="minor"/>
    </font>
    <font>
      <sz val="11"/>
      <color theme="1"/>
      <name val="Arial"/>
      <family val="2"/>
      <scheme val="minor"/>
    </font>
    <font>
      <sz val="10"/>
      <color theme="1"/>
      <name val="Arial"/>
      <family val="2"/>
    </font>
    <font>
      <sz val="10"/>
      <color rgb="FFFF0000"/>
      <name val="Arial"/>
      <family val="2"/>
    </font>
    <font>
      <b/>
      <sz val="10"/>
      <color rgb="FFFF0000"/>
      <name val="Arial"/>
      <family val="2"/>
    </font>
    <font>
      <b/>
      <sz val="10"/>
      <color theme="1"/>
      <name val="Arial"/>
      <family val="2"/>
    </font>
    <font>
      <u/>
      <sz val="11"/>
      <color rgb="FF000000"/>
      <name val="Calibri"/>
      <family val="2"/>
    </font>
    <font>
      <sz val="11"/>
      <color rgb="FF000000"/>
      <name val="Calibri"/>
      <family val="2"/>
    </font>
    <font>
      <sz val="10"/>
      <color rgb="FF000000"/>
      <name val="Arial"/>
      <family val="2"/>
      <scheme val="minor"/>
    </font>
    <font>
      <sz val="10"/>
      <color theme="1"/>
      <name val="Arial"/>
      <family val="2"/>
      <scheme val="minor"/>
    </font>
    <font>
      <sz val="10"/>
      <color theme="3"/>
      <name val="Arial"/>
      <family val="2"/>
      <scheme val="minor"/>
    </font>
    <font>
      <sz val="10"/>
      <name val="Arial"/>
      <family val="2"/>
    </font>
    <font>
      <sz val="11"/>
      <color rgb="FF000000"/>
      <name val="Calibri"/>
    </font>
    <font>
      <sz val="11"/>
      <name val="Calibri"/>
    </font>
    <font>
      <b/>
      <sz val="12"/>
      <color rgb="FF000000"/>
      <name val="Arial"/>
      <family val="2"/>
      <scheme val="minor"/>
    </font>
    <font>
      <b/>
      <sz val="10"/>
      <color rgb="FF000000"/>
      <name val="Arial"/>
      <family val="2"/>
      <scheme val="minor"/>
    </font>
  </fonts>
  <fills count="17">
    <fill>
      <patternFill patternType="none"/>
    </fill>
    <fill>
      <patternFill patternType="gray125"/>
    </fill>
    <fill>
      <patternFill patternType="solid">
        <fgColor rgb="FFFFF2CC"/>
        <bgColor rgb="FFFFF2CC"/>
      </patternFill>
    </fill>
    <fill>
      <patternFill patternType="solid">
        <fgColor rgb="FFB4C6E7"/>
        <bgColor rgb="FFB4C6E7"/>
      </patternFill>
    </fill>
    <fill>
      <patternFill patternType="solid">
        <fgColor rgb="FFC6E0B4"/>
        <bgColor rgb="FFC6E0B4"/>
      </patternFill>
    </fill>
    <fill>
      <patternFill patternType="solid">
        <fgColor theme="6" tint="0.79998168889431442"/>
        <bgColor rgb="FFB4C6E7"/>
      </patternFill>
    </fill>
    <fill>
      <patternFill patternType="solid">
        <fgColor rgb="FFFFFF00"/>
        <bgColor rgb="FFC6E0B4"/>
      </patternFill>
    </fill>
    <fill>
      <patternFill patternType="solid">
        <fgColor theme="6"/>
        <bgColor rgb="FFB4C6E7"/>
      </patternFill>
    </fill>
    <fill>
      <patternFill patternType="solid">
        <fgColor rgb="FFFFFF00"/>
        <bgColor indexed="64"/>
      </patternFill>
    </fill>
    <fill>
      <patternFill patternType="solid">
        <fgColor theme="2" tint="-0.499984740745262"/>
        <bgColor indexed="64"/>
      </patternFill>
    </fill>
    <fill>
      <patternFill patternType="solid">
        <fgColor theme="6" tint="0.79998168889431442"/>
        <bgColor rgb="FFFFF2CC"/>
      </patternFill>
    </fill>
    <fill>
      <patternFill patternType="solid">
        <fgColor theme="6" tint="0.59999389629810485"/>
        <bgColor indexed="64"/>
      </patternFill>
    </fill>
    <fill>
      <patternFill patternType="solid">
        <fgColor theme="6" tint="0.79998168889431442"/>
        <bgColor indexed="64"/>
      </patternFill>
    </fill>
    <fill>
      <patternFill patternType="solid">
        <fgColor theme="6"/>
        <bgColor indexed="64"/>
      </patternFill>
    </fill>
    <fill>
      <patternFill patternType="solid">
        <fgColor theme="7"/>
        <bgColor indexed="64"/>
      </patternFill>
    </fill>
    <fill>
      <patternFill patternType="solid">
        <fgColor theme="5" tint="0.79998168889431442"/>
        <bgColor indexed="64"/>
      </patternFill>
    </fill>
    <fill>
      <patternFill patternType="solid">
        <fgColor theme="7" tint="0.59999389629810485"/>
        <bgColor indexed="64"/>
      </patternFill>
    </fill>
  </fills>
  <borders count="1">
    <border>
      <left/>
      <right/>
      <top/>
      <bottom/>
      <diagonal/>
    </border>
  </borders>
  <cellStyleXfs count="4">
    <xf numFmtId="0" fontId="0" fillId="0" borderId="0"/>
    <xf numFmtId="0" fontId="2" fillId="0" borderId="0"/>
    <xf numFmtId="0" fontId="12" fillId="0" borderId="0"/>
    <xf numFmtId="0" fontId="1" fillId="0" borderId="0"/>
  </cellStyleXfs>
  <cellXfs count="41">
    <xf numFmtId="0" fontId="0" fillId="0" borderId="0" xfId="0"/>
    <xf numFmtId="0" fontId="3" fillId="0" borderId="0" xfId="0" applyFont="1"/>
    <xf numFmtId="0" fontId="4" fillId="0" borderId="0" xfId="0" applyFont="1"/>
    <xf numFmtId="0" fontId="5" fillId="0" borderId="0" xfId="0" applyFont="1"/>
    <xf numFmtId="0" fontId="4" fillId="0" borderId="0" xfId="0" applyFont="1" applyAlignment="1">
      <alignment horizontal="center"/>
    </xf>
    <xf numFmtId="0" fontId="3" fillId="2" borderId="0" xfId="0" applyFont="1" applyFill="1" applyAlignment="1">
      <alignment horizontal="right"/>
    </xf>
    <xf numFmtId="0" fontId="3" fillId="2" borderId="0" xfId="0" applyFont="1" applyFill="1"/>
    <xf numFmtId="0" fontId="3" fillId="2" borderId="0" xfId="0" applyFont="1" applyFill="1" applyAlignment="1">
      <alignment horizontal="center"/>
    </xf>
    <xf numFmtId="0" fontId="6" fillId="0" borderId="0" xfId="0" applyFont="1"/>
    <xf numFmtId="0" fontId="3" fillId="3" borderId="0" xfId="0" applyFont="1" applyFill="1" applyAlignment="1">
      <alignment horizontal="right"/>
    </xf>
    <xf numFmtId="0" fontId="3" fillId="3" borderId="0" xfId="0" applyFont="1" applyFill="1" applyAlignment="1">
      <alignment horizontal="center"/>
    </xf>
    <xf numFmtId="0" fontId="3" fillId="4" borderId="0" xfId="0" applyFont="1" applyFill="1" applyAlignment="1">
      <alignment horizontal="right"/>
    </xf>
    <xf numFmtId="0" fontId="7" fillId="0" borderId="0" xfId="0" applyFont="1"/>
    <xf numFmtId="0" fontId="8" fillId="0" borderId="0" xfId="0" applyFont="1"/>
    <xf numFmtId="0" fontId="8" fillId="0" borderId="0" xfId="0" applyFont="1" applyAlignment="1">
      <alignment horizontal="right"/>
    </xf>
    <xf numFmtId="0" fontId="9" fillId="0" borderId="0" xfId="0" applyFont="1"/>
    <xf numFmtId="0" fontId="10" fillId="0" borderId="0" xfId="0" applyFont="1"/>
    <xf numFmtId="0" fontId="11" fillId="0" borderId="0" xfId="0" applyFont="1"/>
    <xf numFmtId="0" fontId="12" fillId="0" borderId="0" xfId="2" applyAlignment="1">
      <alignment vertical="center" wrapText="1"/>
    </xf>
    <xf numFmtId="0" fontId="12" fillId="0" borderId="0" xfId="2"/>
    <xf numFmtId="0" fontId="2" fillId="0" borderId="0" xfId="1"/>
    <xf numFmtId="0" fontId="13" fillId="0" borderId="0" xfId="0" applyFont="1"/>
    <xf numFmtId="0" fontId="3" fillId="5" borderId="0" xfId="0" applyFont="1" applyFill="1" applyAlignment="1">
      <alignment horizontal="right"/>
    </xf>
    <xf numFmtId="0" fontId="12" fillId="0" borderId="0" xfId="0" applyFont="1"/>
    <xf numFmtId="0" fontId="3" fillId="6" borderId="0" xfId="0" applyFont="1" applyFill="1" applyAlignment="1">
      <alignment horizontal="right"/>
    </xf>
    <xf numFmtId="0" fontId="14" fillId="0" borderId="0" xfId="0" applyFont="1"/>
    <xf numFmtId="0" fontId="3" fillId="7" borderId="0" xfId="0" applyFont="1" applyFill="1" applyAlignment="1">
      <alignment horizontal="center"/>
    </xf>
    <xf numFmtId="0" fontId="0" fillId="8" borderId="0" xfId="0" applyFill="1"/>
    <xf numFmtId="0" fontId="0" fillId="9" borderId="0" xfId="0" applyFill="1"/>
    <xf numFmtId="0" fontId="3" fillId="10" borderId="0" xfId="0" applyFont="1" applyFill="1" applyAlignment="1">
      <alignment horizontal="right"/>
    </xf>
    <xf numFmtId="0" fontId="15" fillId="12" borderId="0" xfId="0" applyFont="1" applyFill="1" applyAlignment="1">
      <alignment horizontal="center"/>
    </xf>
    <xf numFmtId="0" fontId="8" fillId="0" borderId="0" xfId="0" applyFont="1"/>
    <xf numFmtId="0" fontId="0" fillId="0" borderId="0" xfId="0"/>
    <xf numFmtId="0" fontId="16" fillId="13" borderId="0" xfId="0" applyFont="1" applyFill="1" applyAlignment="1">
      <alignment horizontal="center"/>
    </xf>
    <xf numFmtId="0" fontId="9" fillId="14" borderId="0" xfId="0" applyFont="1" applyFill="1" applyAlignment="1">
      <alignment horizontal="center"/>
    </xf>
    <xf numFmtId="0" fontId="9" fillId="15" borderId="0" xfId="0" applyFont="1" applyFill="1" applyAlignment="1">
      <alignment horizontal="center"/>
    </xf>
    <xf numFmtId="0" fontId="0" fillId="15" borderId="0" xfId="0" applyFill="1" applyAlignment="1">
      <alignment horizontal="center"/>
    </xf>
    <xf numFmtId="0" fontId="9" fillId="16" borderId="0" xfId="0" applyFont="1" applyFill="1" applyAlignment="1">
      <alignment horizontal="center"/>
    </xf>
    <xf numFmtId="0" fontId="0" fillId="16" borderId="0" xfId="0" applyFill="1" applyAlignment="1">
      <alignment horizontal="center"/>
    </xf>
    <xf numFmtId="0" fontId="15" fillId="12" borderId="0" xfId="0" applyFont="1" applyFill="1" applyAlignment="1">
      <alignment horizontal="center"/>
    </xf>
    <xf numFmtId="0" fontId="15" fillId="11" borderId="0" xfId="0" applyFont="1" applyFill="1" applyAlignment="1">
      <alignment horizontal="center"/>
    </xf>
  </cellXfs>
  <cellStyles count="4">
    <cellStyle name="Normal" xfId="0" builtinId="0"/>
    <cellStyle name="Normal 2" xfId="2" xr:uid="{00000000-0005-0000-0000-000001000000}"/>
    <cellStyle name="Normal 3" xfId="1" xr:uid="{00000000-0005-0000-0000-000002000000}"/>
    <cellStyle name="Normal 3 2" xfId="3" xr:uid="{9B3C4BA3-544B-4A60-9DEB-2E2A9033F4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no/"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314"/>
  <sheetViews>
    <sheetView workbookViewId="0">
      <selection activeCell="C277" sqref="C277"/>
    </sheetView>
  </sheetViews>
  <sheetFormatPr defaultColWidth="12.5546875" defaultRowHeight="15.75" customHeight="1"/>
  <sheetData>
    <row r="1" spans="1:8" ht="13.2">
      <c r="A1" s="15" t="s">
        <v>114</v>
      </c>
      <c r="B1" s="1" t="s">
        <v>0</v>
      </c>
      <c r="C1" s="1" t="s">
        <v>1</v>
      </c>
      <c r="D1" s="2" t="s">
        <v>2</v>
      </c>
      <c r="E1" s="2" t="s">
        <v>3</v>
      </c>
      <c r="F1" s="2" t="s">
        <v>4</v>
      </c>
      <c r="G1" s="3" t="s">
        <v>5</v>
      </c>
      <c r="H1" s="4" t="s">
        <v>6</v>
      </c>
    </row>
    <row r="2" spans="1:8" ht="13.2">
      <c r="A2">
        <v>1</v>
      </c>
      <c r="B2" s="5">
        <v>1</v>
      </c>
      <c r="C2" s="6" t="s">
        <v>7</v>
      </c>
      <c r="D2" s="1" t="s">
        <v>8</v>
      </c>
      <c r="E2" s="1" t="s">
        <v>9</v>
      </c>
      <c r="F2" s="1" t="s">
        <v>9</v>
      </c>
      <c r="G2" s="1" t="s">
        <v>10</v>
      </c>
      <c r="H2" s="7" t="s">
        <v>11</v>
      </c>
    </row>
    <row r="3" spans="1:8" ht="13.2">
      <c r="A3">
        <f>A2+1</f>
        <v>2</v>
      </c>
      <c r="B3" s="5">
        <v>2</v>
      </c>
      <c r="C3" s="6" t="s">
        <v>12</v>
      </c>
      <c r="D3" s="1" t="s">
        <v>8</v>
      </c>
      <c r="E3" s="1" t="s">
        <v>9</v>
      </c>
      <c r="F3" s="1" t="s">
        <v>8</v>
      </c>
      <c r="G3" s="1" t="s">
        <v>10</v>
      </c>
      <c r="H3" s="7" t="s">
        <v>11</v>
      </c>
    </row>
    <row r="4" spans="1:8" ht="13.2">
      <c r="A4">
        <f t="shared" ref="A4:A67" si="0">A3+1</f>
        <v>3</v>
      </c>
      <c r="B4" s="5">
        <v>3</v>
      </c>
      <c r="C4" s="6" t="s">
        <v>13</v>
      </c>
      <c r="D4" s="1" t="s">
        <v>8</v>
      </c>
      <c r="E4" s="1" t="s">
        <v>9</v>
      </c>
      <c r="F4" s="1" t="s">
        <v>9</v>
      </c>
      <c r="G4" s="1" t="s">
        <v>10</v>
      </c>
      <c r="H4" s="7" t="s">
        <v>11</v>
      </c>
    </row>
    <row r="5" spans="1:8" ht="13.2">
      <c r="A5">
        <f t="shared" si="0"/>
        <v>4</v>
      </c>
      <c r="B5" s="5">
        <v>4</v>
      </c>
      <c r="C5" s="6" t="s">
        <v>14</v>
      </c>
      <c r="D5" s="1" t="s">
        <v>8</v>
      </c>
      <c r="E5" s="1" t="s">
        <v>9</v>
      </c>
      <c r="F5" s="1" t="s">
        <v>8</v>
      </c>
      <c r="G5" s="1" t="s">
        <v>10</v>
      </c>
      <c r="H5" s="7" t="s">
        <v>11</v>
      </c>
    </row>
    <row r="6" spans="1:8" ht="13.2">
      <c r="A6">
        <f t="shared" si="0"/>
        <v>5</v>
      </c>
      <c r="B6" s="5">
        <v>5</v>
      </c>
      <c r="C6" s="6" t="s">
        <v>15</v>
      </c>
      <c r="D6" s="1" t="s">
        <v>9</v>
      </c>
      <c r="E6" s="1" t="s">
        <v>8</v>
      </c>
      <c r="F6" s="1" t="s">
        <v>8</v>
      </c>
      <c r="G6" s="1" t="s">
        <v>10</v>
      </c>
      <c r="H6" s="7" t="s">
        <v>11</v>
      </c>
    </row>
    <row r="7" spans="1:8" ht="13.2">
      <c r="A7">
        <f t="shared" si="0"/>
        <v>6</v>
      </c>
      <c r="B7" s="5">
        <v>6</v>
      </c>
      <c r="C7" s="6" t="s">
        <v>16</v>
      </c>
      <c r="D7" s="1" t="s">
        <v>9</v>
      </c>
      <c r="E7" s="1" t="s">
        <v>9</v>
      </c>
      <c r="F7" s="1" t="s">
        <v>8</v>
      </c>
      <c r="G7" s="1" t="s">
        <v>10</v>
      </c>
      <c r="H7" s="7" t="s">
        <v>11</v>
      </c>
    </row>
    <row r="8" spans="1:8" ht="13.2">
      <c r="A8">
        <f t="shared" si="0"/>
        <v>7</v>
      </c>
      <c r="B8" s="5">
        <v>7</v>
      </c>
      <c r="C8" s="6" t="s">
        <v>17</v>
      </c>
      <c r="D8" s="1" t="s">
        <v>9</v>
      </c>
      <c r="E8" s="1" t="s">
        <v>9</v>
      </c>
      <c r="F8" s="1" t="s">
        <v>8</v>
      </c>
      <c r="G8" s="1" t="s">
        <v>10</v>
      </c>
      <c r="H8" s="7" t="s">
        <v>11</v>
      </c>
    </row>
    <row r="9" spans="1:8" ht="13.2">
      <c r="A9">
        <f t="shared" si="0"/>
        <v>8</v>
      </c>
      <c r="B9" s="5">
        <v>8</v>
      </c>
      <c r="C9" s="6" t="s">
        <v>18</v>
      </c>
      <c r="D9" s="1"/>
      <c r="E9" s="1"/>
      <c r="F9" s="1"/>
      <c r="G9" s="1" t="s">
        <v>19</v>
      </c>
      <c r="H9" s="7" t="s">
        <v>11</v>
      </c>
    </row>
    <row r="10" spans="1:8" ht="13.2">
      <c r="A10">
        <f t="shared" si="0"/>
        <v>9</v>
      </c>
      <c r="B10" s="5">
        <v>9</v>
      </c>
      <c r="C10" s="6" t="s">
        <v>20</v>
      </c>
      <c r="D10" s="1" t="s">
        <v>9</v>
      </c>
      <c r="E10" s="1" t="s">
        <v>9</v>
      </c>
      <c r="F10" s="1" t="s">
        <v>8</v>
      </c>
      <c r="G10" s="1" t="s">
        <v>10</v>
      </c>
      <c r="H10" s="7" t="s">
        <v>11</v>
      </c>
    </row>
    <row r="11" spans="1:8" ht="13.2">
      <c r="A11">
        <f t="shared" si="0"/>
        <v>10</v>
      </c>
      <c r="B11" s="5">
        <v>10</v>
      </c>
      <c r="C11" s="6" t="s">
        <v>21</v>
      </c>
      <c r="D11" s="1" t="s">
        <v>8</v>
      </c>
      <c r="E11" s="1" t="s">
        <v>8</v>
      </c>
      <c r="F11" s="1" t="s">
        <v>8</v>
      </c>
      <c r="G11" s="1" t="s">
        <v>10</v>
      </c>
      <c r="H11" s="7" t="s">
        <v>11</v>
      </c>
    </row>
    <row r="12" spans="1:8" ht="13.2">
      <c r="A12">
        <f t="shared" si="0"/>
        <v>11</v>
      </c>
      <c r="B12" s="5">
        <v>11</v>
      </c>
      <c r="C12" s="6" t="s">
        <v>22</v>
      </c>
      <c r="D12" s="1"/>
      <c r="E12" s="1"/>
      <c r="F12" s="1"/>
      <c r="G12" s="1" t="s">
        <v>19</v>
      </c>
      <c r="H12" s="7" t="s">
        <v>11</v>
      </c>
    </row>
    <row r="13" spans="1:8" ht="13.2">
      <c r="A13">
        <f t="shared" si="0"/>
        <v>12</v>
      </c>
      <c r="B13" s="5">
        <v>12</v>
      </c>
      <c r="C13" s="6" t="s">
        <v>23</v>
      </c>
      <c r="D13" s="1" t="s">
        <v>8</v>
      </c>
      <c r="E13" s="1" t="s">
        <v>9</v>
      </c>
      <c r="F13" s="1" t="s">
        <v>8</v>
      </c>
      <c r="G13" s="1" t="s">
        <v>10</v>
      </c>
      <c r="H13" s="7" t="s">
        <v>11</v>
      </c>
    </row>
    <row r="14" spans="1:8" ht="13.2">
      <c r="A14">
        <f t="shared" si="0"/>
        <v>13</v>
      </c>
      <c r="B14" s="5">
        <v>13</v>
      </c>
      <c r="C14" s="6" t="s">
        <v>24</v>
      </c>
      <c r="D14" s="1" t="s">
        <v>8</v>
      </c>
      <c r="E14" s="1" t="s">
        <v>9</v>
      </c>
      <c r="F14" s="1" t="s">
        <v>8</v>
      </c>
      <c r="G14" s="1" t="s">
        <v>10</v>
      </c>
      <c r="H14" s="7" t="s">
        <v>11</v>
      </c>
    </row>
    <row r="15" spans="1:8" ht="13.2">
      <c r="A15">
        <f t="shared" si="0"/>
        <v>14</v>
      </c>
      <c r="B15" s="5">
        <v>14</v>
      </c>
      <c r="C15" s="6" t="s">
        <v>25</v>
      </c>
      <c r="D15" s="1" t="s">
        <v>9</v>
      </c>
      <c r="E15" s="1" t="s">
        <v>9</v>
      </c>
      <c r="F15" s="1" t="s">
        <v>8</v>
      </c>
      <c r="G15" s="1" t="s">
        <v>10</v>
      </c>
      <c r="H15" s="7" t="s">
        <v>11</v>
      </c>
    </row>
    <row r="16" spans="1:8" ht="13.2">
      <c r="A16">
        <f t="shared" si="0"/>
        <v>15</v>
      </c>
      <c r="B16" s="5">
        <v>15</v>
      </c>
      <c r="C16" s="6" t="s">
        <v>26</v>
      </c>
      <c r="D16" s="1"/>
      <c r="E16" s="1"/>
      <c r="F16" s="1"/>
      <c r="G16" s="1" t="s">
        <v>19</v>
      </c>
      <c r="H16" s="7" t="s">
        <v>11</v>
      </c>
    </row>
    <row r="17" spans="1:8" ht="13.2">
      <c r="A17">
        <f t="shared" si="0"/>
        <v>16</v>
      </c>
      <c r="B17" s="5">
        <v>16</v>
      </c>
      <c r="C17" s="6" t="s">
        <v>27</v>
      </c>
      <c r="D17" s="1" t="s">
        <v>9</v>
      </c>
      <c r="E17" s="1" t="s">
        <v>9</v>
      </c>
      <c r="F17" s="1" t="s">
        <v>8</v>
      </c>
      <c r="G17" s="1" t="s">
        <v>10</v>
      </c>
      <c r="H17" s="7" t="s">
        <v>11</v>
      </c>
    </row>
    <row r="18" spans="1:8" ht="13.2">
      <c r="A18">
        <f t="shared" si="0"/>
        <v>17</v>
      </c>
      <c r="B18" s="5">
        <v>17</v>
      </c>
      <c r="C18" s="6" t="s">
        <v>28</v>
      </c>
      <c r="D18" s="1"/>
      <c r="E18" s="1"/>
      <c r="F18" s="1"/>
      <c r="G18" s="1" t="s">
        <v>19</v>
      </c>
      <c r="H18" s="7" t="s">
        <v>11</v>
      </c>
    </row>
    <row r="19" spans="1:8" ht="13.2">
      <c r="A19">
        <f t="shared" si="0"/>
        <v>18</v>
      </c>
      <c r="B19" s="5">
        <v>18</v>
      </c>
      <c r="C19" s="6" t="s">
        <v>29</v>
      </c>
      <c r="D19" s="1"/>
      <c r="E19" s="1"/>
      <c r="F19" s="1"/>
      <c r="G19" s="1" t="s">
        <v>19</v>
      </c>
      <c r="H19" s="7" t="s">
        <v>11</v>
      </c>
    </row>
    <row r="20" spans="1:8" ht="13.2">
      <c r="A20">
        <f t="shared" si="0"/>
        <v>19</v>
      </c>
      <c r="B20" s="5">
        <v>19</v>
      </c>
      <c r="C20" s="6" t="s">
        <v>30</v>
      </c>
      <c r="D20" s="1" t="s">
        <v>8</v>
      </c>
      <c r="E20" s="1" t="s">
        <v>9</v>
      </c>
      <c r="F20" s="1" t="s">
        <v>8</v>
      </c>
      <c r="G20" s="1" t="s">
        <v>10</v>
      </c>
      <c r="H20" s="7" t="s">
        <v>11</v>
      </c>
    </row>
    <row r="21" spans="1:8" ht="13.2">
      <c r="A21">
        <f t="shared" si="0"/>
        <v>20</v>
      </c>
      <c r="B21" s="5">
        <v>20</v>
      </c>
      <c r="C21" s="6" t="s">
        <v>31</v>
      </c>
      <c r="D21" s="1" t="s">
        <v>9</v>
      </c>
      <c r="E21" s="1" t="s">
        <v>9</v>
      </c>
      <c r="F21" s="1" t="s">
        <v>8</v>
      </c>
      <c r="G21" s="1" t="s">
        <v>10</v>
      </c>
      <c r="H21" s="7" t="s">
        <v>11</v>
      </c>
    </row>
    <row r="22" spans="1:8" ht="13.2">
      <c r="A22">
        <f t="shared" si="0"/>
        <v>21</v>
      </c>
      <c r="B22" s="5">
        <v>21</v>
      </c>
      <c r="C22" s="6" t="s">
        <v>32</v>
      </c>
      <c r="D22" s="1" t="s">
        <v>8</v>
      </c>
      <c r="E22" s="1" t="s">
        <v>9</v>
      </c>
      <c r="F22" s="1" t="s">
        <v>8</v>
      </c>
      <c r="G22" s="1" t="s">
        <v>10</v>
      </c>
      <c r="H22" s="7" t="s">
        <v>11</v>
      </c>
    </row>
    <row r="23" spans="1:8" ht="13.2">
      <c r="A23">
        <f t="shared" si="0"/>
        <v>22</v>
      </c>
      <c r="B23" s="5">
        <v>22</v>
      </c>
      <c r="C23" s="6" t="s">
        <v>33</v>
      </c>
      <c r="D23" s="1"/>
      <c r="E23" s="1"/>
      <c r="F23" s="1"/>
      <c r="G23" s="1" t="s">
        <v>19</v>
      </c>
      <c r="H23" s="7" t="s">
        <v>11</v>
      </c>
    </row>
    <row r="24" spans="1:8" ht="13.2">
      <c r="A24">
        <f t="shared" si="0"/>
        <v>23</v>
      </c>
      <c r="B24" s="5">
        <v>23</v>
      </c>
      <c r="C24" s="6" t="s">
        <v>34</v>
      </c>
      <c r="D24" s="8" t="s">
        <v>9</v>
      </c>
      <c r="E24" s="8" t="s">
        <v>9</v>
      </c>
      <c r="F24" s="1" t="s">
        <v>8</v>
      </c>
      <c r="G24" s="1" t="s">
        <v>10</v>
      </c>
      <c r="H24" s="7" t="s">
        <v>11</v>
      </c>
    </row>
    <row r="25" spans="1:8" ht="13.2">
      <c r="A25">
        <f t="shared" si="0"/>
        <v>24</v>
      </c>
      <c r="B25" s="5">
        <v>24</v>
      </c>
      <c r="C25" s="6" t="s">
        <v>35</v>
      </c>
      <c r="D25" s="1"/>
      <c r="E25" s="1"/>
      <c r="F25" s="1"/>
      <c r="G25" s="1" t="s">
        <v>19</v>
      </c>
      <c r="H25" s="7" t="s">
        <v>11</v>
      </c>
    </row>
    <row r="26" spans="1:8" ht="13.2">
      <c r="A26">
        <f t="shared" si="0"/>
        <v>25</v>
      </c>
      <c r="B26" s="5">
        <v>25</v>
      </c>
      <c r="C26" s="6" t="s">
        <v>36</v>
      </c>
      <c r="D26" s="1" t="s">
        <v>8</v>
      </c>
      <c r="E26" s="1" t="s">
        <v>9</v>
      </c>
      <c r="F26" s="1" t="s">
        <v>8</v>
      </c>
      <c r="G26" s="1" t="s">
        <v>10</v>
      </c>
      <c r="H26" s="7" t="s">
        <v>11</v>
      </c>
    </row>
    <row r="27" spans="1:8" ht="13.2">
      <c r="A27">
        <f t="shared" si="0"/>
        <v>26</v>
      </c>
      <c r="B27" s="5">
        <v>26</v>
      </c>
      <c r="C27" s="6" t="s">
        <v>37</v>
      </c>
      <c r="D27" s="1" t="s">
        <v>8</v>
      </c>
      <c r="E27" s="1" t="s">
        <v>9</v>
      </c>
      <c r="F27" s="1" t="s">
        <v>8</v>
      </c>
      <c r="G27" s="1" t="s">
        <v>10</v>
      </c>
      <c r="H27" s="7" t="s">
        <v>11</v>
      </c>
    </row>
    <row r="28" spans="1:8" ht="13.2">
      <c r="A28">
        <f t="shared" si="0"/>
        <v>27</v>
      </c>
      <c r="B28" s="5">
        <v>27</v>
      </c>
      <c r="C28" s="6" t="s">
        <v>38</v>
      </c>
      <c r="D28" s="1" t="s">
        <v>9</v>
      </c>
      <c r="E28" s="1" t="s">
        <v>9</v>
      </c>
      <c r="F28" s="1" t="s">
        <v>8</v>
      </c>
      <c r="G28" s="1" t="s">
        <v>10</v>
      </c>
      <c r="H28" s="7" t="s">
        <v>11</v>
      </c>
    </row>
    <row r="29" spans="1:8" ht="13.2">
      <c r="A29">
        <f t="shared" si="0"/>
        <v>28</v>
      </c>
      <c r="B29" s="5">
        <v>28</v>
      </c>
      <c r="C29" s="6" t="s">
        <v>39</v>
      </c>
      <c r="D29" s="1" t="s">
        <v>8</v>
      </c>
      <c r="E29" s="1" t="s">
        <v>9</v>
      </c>
      <c r="F29" s="1" t="s">
        <v>8</v>
      </c>
      <c r="G29" s="1" t="s">
        <v>10</v>
      </c>
      <c r="H29" s="7" t="s">
        <v>11</v>
      </c>
    </row>
    <row r="30" spans="1:8" ht="13.2">
      <c r="A30">
        <f t="shared" si="0"/>
        <v>29</v>
      </c>
      <c r="B30" s="5">
        <v>29</v>
      </c>
      <c r="C30" s="6" t="s">
        <v>40</v>
      </c>
      <c r="D30" s="1" t="s">
        <v>9</v>
      </c>
      <c r="E30" s="1" t="s">
        <v>9</v>
      </c>
      <c r="F30" s="1" t="s">
        <v>8</v>
      </c>
      <c r="G30" s="1" t="s">
        <v>10</v>
      </c>
      <c r="H30" s="7" t="s">
        <v>11</v>
      </c>
    </row>
    <row r="31" spans="1:8" ht="13.2">
      <c r="A31">
        <f t="shared" si="0"/>
        <v>30</v>
      </c>
      <c r="B31" s="5">
        <v>30</v>
      </c>
      <c r="C31" s="6" t="s">
        <v>41</v>
      </c>
      <c r="D31" s="1" t="s">
        <v>8</v>
      </c>
      <c r="E31" s="1" t="s">
        <v>9</v>
      </c>
      <c r="F31" s="1" t="s">
        <v>8</v>
      </c>
      <c r="G31" s="1" t="s">
        <v>10</v>
      </c>
      <c r="H31" s="7" t="s">
        <v>11</v>
      </c>
    </row>
    <row r="32" spans="1:8" ht="13.2">
      <c r="A32">
        <f t="shared" si="0"/>
        <v>31</v>
      </c>
      <c r="B32" s="5">
        <v>31</v>
      </c>
      <c r="C32" s="6" t="s">
        <v>42</v>
      </c>
      <c r="D32" s="1" t="s">
        <v>8</v>
      </c>
      <c r="E32" s="1" t="s">
        <v>9</v>
      </c>
      <c r="F32" s="1" t="s">
        <v>8</v>
      </c>
      <c r="G32" s="1" t="s">
        <v>10</v>
      </c>
      <c r="H32" s="7" t="s">
        <v>11</v>
      </c>
    </row>
    <row r="33" spans="1:8" ht="13.2">
      <c r="A33">
        <f t="shared" si="0"/>
        <v>32</v>
      </c>
      <c r="B33" s="5">
        <v>32</v>
      </c>
      <c r="C33" s="6" t="s">
        <v>43</v>
      </c>
      <c r="D33" s="1"/>
      <c r="E33" s="1"/>
      <c r="F33" s="1"/>
      <c r="G33" s="1" t="s">
        <v>19</v>
      </c>
      <c r="H33" s="7" t="s">
        <v>11</v>
      </c>
    </row>
    <row r="34" spans="1:8" ht="13.2">
      <c r="A34">
        <f t="shared" si="0"/>
        <v>33</v>
      </c>
      <c r="B34" s="5">
        <v>33</v>
      </c>
      <c r="C34" s="6" t="s">
        <v>44</v>
      </c>
      <c r="D34" s="1" t="s">
        <v>9</v>
      </c>
      <c r="E34" s="1" t="s">
        <v>9</v>
      </c>
      <c r="F34" s="1" t="s">
        <v>8</v>
      </c>
      <c r="G34" s="1" t="s">
        <v>10</v>
      </c>
      <c r="H34" s="7" t="s">
        <v>11</v>
      </c>
    </row>
    <row r="35" spans="1:8" ht="13.2">
      <c r="A35">
        <f t="shared" si="0"/>
        <v>34</v>
      </c>
      <c r="B35" s="5">
        <v>34</v>
      </c>
      <c r="C35" s="6" t="s">
        <v>45</v>
      </c>
      <c r="D35" s="1" t="s">
        <v>9</v>
      </c>
      <c r="E35" s="1" t="s">
        <v>9</v>
      </c>
      <c r="F35" s="1" t="s">
        <v>8</v>
      </c>
      <c r="G35" s="1" t="s">
        <v>10</v>
      </c>
      <c r="H35" s="7" t="s">
        <v>11</v>
      </c>
    </row>
    <row r="36" spans="1:8" ht="13.2">
      <c r="A36">
        <f t="shared" si="0"/>
        <v>35</v>
      </c>
      <c r="B36" s="5">
        <v>35</v>
      </c>
      <c r="C36" s="6" t="s">
        <v>46</v>
      </c>
      <c r="D36" s="1" t="s">
        <v>9</v>
      </c>
      <c r="E36" s="1" t="s">
        <v>9</v>
      </c>
      <c r="F36" s="1" t="s">
        <v>9</v>
      </c>
      <c r="G36" s="1" t="s">
        <v>10</v>
      </c>
      <c r="H36" s="7" t="s">
        <v>11</v>
      </c>
    </row>
    <row r="37" spans="1:8" ht="13.2">
      <c r="A37">
        <f t="shared" si="0"/>
        <v>36</v>
      </c>
      <c r="B37" s="5">
        <v>36</v>
      </c>
      <c r="C37" s="6" t="s">
        <v>47</v>
      </c>
      <c r="D37" s="1"/>
      <c r="E37" s="1"/>
      <c r="F37" s="1"/>
      <c r="G37" s="1" t="s">
        <v>19</v>
      </c>
      <c r="H37" s="7" t="s">
        <v>11</v>
      </c>
    </row>
    <row r="38" spans="1:8" ht="13.2">
      <c r="A38">
        <f t="shared" si="0"/>
        <v>37</v>
      </c>
      <c r="B38" s="5">
        <v>37</v>
      </c>
      <c r="C38" s="6" t="s">
        <v>48</v>
      </c>
      <c r="D38" s="1" t="s">
        <v>9</v>
      </c>
      <c r="E38" s="1" t="s">
        <v>9</v>
      </c>
      <c r="F38" s="1" t="s">
        <v>8</v>
      </c>
      <c r="G38" s="1" t="s">
        <v>10</v>
      </c>
      <c r="H38" s="7" t="s">
        <v>11</v>
      </c>
    </row>
    <row r="39" spans="1:8" ht="13.2">
      <c r="A39">
        <f t="shared" si="0"/>
        <v>38</v>
      </c>
      <c r="B39" s="5">
        <v>38</v>
      </c>
      <c r="C39" s="6" t="s">
        <v>49</v>
      </c>
      <c r="D39" s="1"/>
      <c r="E39" s="1"/>
      <c r="F39" s="1"/>
      <c r="G39" s="1" t="s">
        <v>19</v>
      </c>
      <c r="H39" s="7" t="s">
        <v>11</v>
      </c>
    </row>
    <row r="40" spans="1:8" ht="13.2">
      <c r="A40">
        <f t="shared" si="0"/>
        <v>39</v>
      </c>
      <c r="B40" s="5">
        <v>39</v>
      </c>
      <c r="C40" s="6" t="s">
        <v>50</v>
      </c>
      <c r="D40" s="1" t="s">
        <v>9</v>
      </c>
      <c r="E40" s="1" t="s">
        <v>9</v>
      </c>
      <c r="F40" s="1" t="s">
        <v>8</v>
      </c>
      <c r="G40" s="1" t="s">
        <v>10</v>
      </c>
      <c r="H40" s="7" t="s">
        <v>11</v>
      </c>
    </row>
    <row r="41" spans="1:8" ht="13.2">
      <c r="A41">
        <f t="shared" si="0"/>
        <v>40</v>
      </c>
      <c r="B41" s="5">
        <v>40</v>
      </c>
      <c r="C41" s="6" t="s">
        <v>51</v>
      </c>
      <c r="D41" s="1" t="s">
        <v>8</v>
      </c>
      <c r="E41" s="1" t="s">
        <v>9</v>
      </c>
      <c r="F41" s="1" t="s">
        <v>8</v>
      </c>
      <c r="G41" s="1" t="s">
        <v>10</v>
      </c>
      <c r="H41" s="7" t="s">
        <v>11</v>
      </c>
    </row>
    <row r="42" spans="1:8" ht="13.2">
      <c r="A42">
        <f t="shared" si="0"/>
        <v>41</v>
      </c>
      <c r="B42" s="5">
        <v>41</v>
      </c>
      <c r="C42" s="6" t="s">
        <v>52</v>
      </c>
      <c r="D42" s="1" t="s">
        <v>8</v>
      </c>
      <c r="E42" s="1" t="s">
        <v>9</v>
      </c>
      <c r="F42" s="1" t="s">
        <v>8</v>
      </c>
      <c r="G42" s="1" t="s">
        <v>10</v>
      </c>
      <c r="H42" s="7" t="s">
        <v>11</v>
      </c>
    </row>
    <row r="43" spans="1:8" ht="13.2">
      <c r="A43">
        <f t="shared" si="0"/>
        <v>42</v>
      </c>
      <c r="B43" s="5">
        <v>42</v>
      </c>
      <c r="C43" s="6" t="s">
        <v>53</v>
      </c>
      <c r="D43" s="1" t="s">
        <v>9</v>
      </c>
      <c r="E43" s="1" t="s">
        <v>9</v>
      </c>
      <c r="F43" s="1" t="s">
        <v>9</v>
      </c>
      <c r="G43" s="1" t="s">
        <v>10</v>
      </c>
      <c r="H43" s="7" t="s">
        <v>11</v>
      </c>
    </row>
    <row r="44" spans="1:8" ht="13.2">
      <c r="A44">
        <f t="shared" si="0"/>
        <v>43</v>
      </c>
      <c r="B44" s="5">
        <v>43</v>
      </c>
      <c r="C44" s="6" t="s">
        <v>54</v>
      </c>
      <c r="D44" s="1"/>
      <c r="E44" s="1"/>
      <c r="F44" s="1"/>
      <c r="G44" s="1" t="s">
        <v>19</v>
      </c>
      <c r="H44" s="7" t="s">
        <v>11</v>
      </c>
    </row>
    <row r="45" spans="1:8" ht="13.2">
      <c r="A45">
        <f t="shared" si="0"/>
        <v>44</v>
      </c>
      <c r="B45" s="5">
        <v>44</v>
      </c>
      <c r="C45" s="6" t="s">
        <v>55</v>
      </c>
      <c r="D45" s="1" t="s">
        <v>9</v>
      </c>
      <c r="E45" s="1" t="s">
        <v>9</v>
      </c>
      <c r="F45" s="1" t="s">
        <v>8</v>
      </c>
      <c r="G45" s="1" t="s">
        <v>10</v>
      </c>
      <c r="H45" s="7" t="s">
        <v>11</v>
      </c>
    </row>
    <row r="46" spans="1:8" ht="13.2">
      <c r="A46">
        <f t="shared" si="0"/>
        <v>45</v>
      </c>
      <c r="B46" s="5">
        <v>45</v>
      </c>
      <c r="C46" s="6" t="s">
        <v>56</v>
      </c>
      <c r="D46" s="1" t="s">
        <v>9</v>
      </c>
      <c r="E46" s="1" t="s">
        <v>9</v>
      </c>
      <c r="F46" s="1" t="s">
        <v>8</v>
      </c>
      <c r="G46" s="1" t="s">
        <v>10</v>
      </c>
      <c r="H46" s="7" t="s">
        <v>11</v>
      </c>
    </row>
    <row r="47" spans="1:8" ht="13.2">
      <c r="A47">
        <f t="shared" si="0"/>
        <v>46</v>
      </c>
      <c r="B47" s="5">
        <v>46</v>
      </c>
      <c r="C47" s="6" t="s">
        <v>57</v>
      </c>
      <c r="D47" s="1" t="s">
        <v>9</v>
      </c>
      <c r="E47" s="1" t="s">
        <v>9</v>
      </c>
      <c r="F47" s="1" t="s">
        <v>8</v>
      </c>
      <c r="G47" s="1" t="s">
        <v>10</v>
      </c>
      <c r="H47" s="7" t="s">
        <v>11</v>
      </c>
    </row>
    <row r="48" spans="1:8" ht="13.2">
      <c r="A48">
        <f t="shared" si="0"/>
        <v>47</v>
      </c>
      <c r="B48" s="5">
        <v>47</v>
      </c>
      <c r="C48" s="6" t="s">
        <v>58</v>
      </c>
      <c r="D48" s="1"/>
      <c r="E48" s="1"/>
      <c r="F48" s="1"/>
      <c r="G48" s="1" t="s">
        <v>19</v>
      </c>
      <c r="H48" s="7" t="s">
        <v>11</v>
      </c>
    </row>
    <row r="49" spans="1:8" ht="13.2">
      <c r="A49">
        <f t="shared" si="0"/>
        <v>48</v>
      </c>
      <c r="B49" s="5">
        <v>48</v>
      </c>
      <c r="C49" s="6" t="s">
        <v>59</v>
      </c>
      <c r="D49" s="1" t="s">
        <v>8</v>
      </c>
      <c r="E49" s="1" t="s">
        <v>8</v>
      </c>
      <c r="F49" s="1" t="s">
        <v>8</v>
      </c>
      <c r="G49" s="1" t="s">
        <v>10</v>
      </c>
      <c r="H49" s="7" t="s">
        <v>11</v>
      </c>
    </row>
    <row r="50" spans="1:8" ht="13.2">
      <c r="A50">
        <f t="shared" si="0"/>
        <v>49</v>
      </c>
      <c r="B50" s="5">
        <v>49</v>
      </c>
      <c r="C50" s="6" t="s">
        <v>60</v>
      </c>
      <c r="D50" s="1" t="s">
        <v>9</v>
      </c>
      <c r="E50" s="1" t="s">
        <v>8</v>
      </c>
      <c r="F50" s="1" t="s">
        <v>8</v>
      </c>
      <c r="G50" s="1" t="s">
        <v>10</v>
      </c>
      <c r="H50" s="7" t="s">
        <v>11</v>
      </c>
    </row>
    <row r="51" spans="1:8" ht="13.2">
      <c r="A51">
        <f t="shared" si="0"/>
        <v>50</v>
      </c>
      <c r="B51" s="5">
        <v>50</v>
      </c>
      <c r="C51" s="6" t="s">
        <v>61</v>
      </c>
      <c r="D51" s="1" t="s">
        <v>9</v>
      </c>
      <c r="E51" s="1" t="s">
        <v>9</v>
      </c>
      <c r="F51" s="1" t="s">
        <v>9</v>
      </c>
      <c r="G51" s="1" t="s">
        <v>10</v>
      </c>
      <c r="H51" s="7" t="s">
        <v>11</v>
      </c>
    </row>
    <row r="52" spans="1:8" ht="13.2">
      <c r="A52">
        <f t="shared" si="0"/>
        <v>51</v>
      </c>
      <c r="B52" s="5">
        <v>51</v>
      </c>
      <c r="C52" s="6" t="s">
        <v>62</v>
      </c>
      <c r="D52" s="1" t="s">
        <v>9</v>
      </c>
      <c r="E52" s="1" t="s">
        <v>9</v>
      </c>
      <c r="F52" s="1" t="s">
        <v>8</v>
      </c>
      <c r="G52" s="1" t="s">
        <v>63</v>
      </c>
      <c r="H52" s="7" t="s">
        <v>11</v>
      </c>
    </row>
    <row r="53" spans="1:8" ht="13.2">
      <c r="A53">
        <f t="shared" si="0"/>
        <v>52</v>
      </c>
      <c r="B53" s="5">
        <v>52</v>
      </c>
      <c r="C53" s="6" t="s">
        <v>64</v>
      </c>
      <c r="D53" s="1"/>
      <c r="E53" s="1"/>
      <c r="F53" s="1"/>
      <c r="G53" s="1" t="s">
        <v>65</v>
      </c>
      <c r="H53" s="7" t="s">
        <v>11</v>
      </c>
    </row>
    <row r="54" spans="1:8" ht="13.2">
      <c r="A54">
        <f t="shared" si="0"/>
        <v>53</v>
      </c>
      <c r="B54" s="5">
        <v>53</v>
      </c>
      <c r="C54" s="6" t="s">
        <v>66</v>
      </c>
      <c r="D54" s="1" t="s">
        <v>9</v>
      </c>
      <c r="E54" s="1" t="s">
        <v>9</v>
      </c>
      <c r="F54" s="1" t="s">
        <v>8</v>
      </c>
      <c r="G54" s="1" t="s">
        <v>63</v>
      </c>
      <c r="H54" s="7" t="s">
        <v>11</v>
      </c>
    </row>
    <row r="55" spans="1:8" ht="13.2">
      <c r="A55">
        <f t="shared" si="0"/>
        <v>54</v>
      </c>
      <c r="B55" s="5">
        <v>54</v>
      </c>
      <c r="C55" s="6" t="s">
        <v>67</v>
      </c>
      <c r="D55" s="1"/>
      <c r="E55" s="1"/>
      <c r="F55" s="1"/>
      <c r="G55" s="1" t="s">
        <v>65</v>
      </c>
      <c r="H55" s="7" t="s">
        <v>11</v>
      </c>
    </row>
    <row r="56" spans="1:8" ht="13.2">
      <c r="A56">
        <f t="shared" si="0"/>
        <v>55</v>
      </c>
      <c r="B56" s="5">
        <v>55</v>
      </c>
      <c r="C56" s="6" t="s">
        <v>68</v>
      </c>
      <c r="D56" s="1" t="s">
        <v>8</v>
      </c>
      <c r="E56" s="1" t="s">
        <v>9</v>
      </c>
      <c r="F56" s="1" t="s">
        <v>8</v>
      </c>
      <c r="G56" s="1" t="s">
        <v>63</v>
      </c>
      <c r="H56" s="7" t="s">
        <v>11</v>
      </c>
    </row>
    <row r="57" spans="1:8" ht="13.2">
      <c r="A57">
        <f t="shared" si="0"/>
        <v>56</v>
      </c>
      <c r="B57" s="5">
        <v>56</v>
      </c>
      <c r="C57" s="6" t="s">
        <v>69</v>
      </c>
      <c r="D57" s="1" t="s">
        <v>9</v>
      </c>
      <c r="E57" s="1" t="s">
        <v>9</v>
      </c>
      <c r="F57" s="1" t="s">
        <v>9</v>
      </c>
      <c r="G57" s="1" t="s">
        <v>63</v>
      </c>
      <c r="H57" s="7" t="s">
        <v>11</v>
      </c>
    </row>
    <row r="58" spans="1:8" ht="13.2">
      <c r="A58">
        <f t="shared" si="0"/>
        <v>57</v>
      </c>
      <c r="B58" s="5">
        <v>57</v>
      </c>
      <c r="C58" s="6" t="s">
        <v>70</v>
      </c>
      <c r="D58" s="1" t="s">
        <v>9</v>
      </c>
      <c r="E58" s="1" t="s">
        <v>9</v>
      </c>
      <c r="F58" s="1" t="s">
        <v>8</v>
      </c>
      <c r="G58" s="1" t="s">
        <v>63</v>
      </c>
      <c r="H58" s="7" t="s">
        <v>11</v>
      </c>
    </row>
    <row r="59" spans="1:8" ht="13.2">
      <c r="A59">
        <f t="shared" si="0"/>
        <v>58</v>
      </c>
      <c r="B59" s="5">
        <v>58</v>
      </c>
      <c r="C59" s="6" t="s">
        <v>71</v>
      </c>
      <c r="D59" s="1" t="s">
        <v>8</v>
      </c>
      <c r="E59" s="1" t="s">
        <v>9</v>
      </c>
      <c r="F59" s="1" t="s">
        <v>8</v>
      </c>
      <c r="G59" s="1" t="s">
        <v>63</v>
      </c>
      <c r="H59" s="7" t="s">
        <v>11</v>
      </c>
    </row>
    <row r="60" spans="1:8" ht="13.2">
      <c r="A60">
        <f t="shared" si="0"/>
        <v>59</v>
      </c>
      <c r="B60" s="5">
        <v>59</v>
      </c>
      <c r="C60" s="6" t="s">
        <v>72</v>
      </c>
      <c r="D60" s="1" t="s">
        <v>9</v>
      </c>
      <c r="E60" s="1" t="s">
        <v>9</v>
      </c>
      <c r="F60" s="1" t="s">
        <v>8</v>
      </c>
      <c r="G60" s="1" t="s">
        <v>63</v>
      </c>
      <c r="H60" s="7" t="s">
        <v>11</v>
      </c>
    </row>
    <row r="61" spans="1:8" ht="13.2">
      <c r="A61">
        <f t="shared" si="0"/>
        <v>60</v>
      </c>
      <c r="B61" s="5">
        <v>60</v>
      </c>
      <c r="C61" s="6" t="s">
        <v>73</v>
      </c>
      <c r="D61" s="1" t="s">
        <v>9</v>
      </c>
      <c r="E61" s="1" t="s">
        <v>9</v>
      </c>
      <c r="F61" s="1" t="s">
        <v>8</v>
      </c>
      <c r="G61" s="1" t="s">
        <v>63</v>
      </c>
      <c r="H61" s="7" t="s">
        <v>11</v>
      </c>
    </row>
    <row r="62" spans="1:8" ht="13.2">
      <c r="A62">
        <f t="shared" si="0"/>
        <v>61</v>
      </c>
      <c r="B62" s="5">
        <v>61</v>
      </c>
      <c r="C62" s="6" t="s">
        <v>74</v>
      </c>
      <c r="D62" s="1"/>
      <c r="E62" s="1"/>
      <c r="F62" s="1"/>
      <c r="G62" s="1" t="s">
        <v>65</v>
      </c>
      <c r="H62" s="7" t="s">
        <v>11</v>
      </c>
    </row>
    <row r="63" spans="1:8" ht="13.2">
      <c r="A63">
        <f t="shared" si="0"/>
        <v>62</v>
      </c>
      <c r="B63" s="5">
        <v>62</v>
      </c>
      <c r="C63" s="6" t="s">
        <v>75</v>
      </c>
      <c r="D63" s="1"/>
      <c r="E63" s="1"/>
      <c r="F63" s="1"/>
      <c r="G63" s="1" t="s">
        <v>65</v>
      </c>
      <c r="H63" s="7" t="s">
        <v>11</v>
      </c>
    </row>
    <row r="64" spans="1:8" ht="13.2">
      <c r="A64">
        <f t="shared" si="0"/>
        <v>63</v>
      </c>
      <c r="B64" s="5">
        <v>63</v>
      </c>
      <c r="C64" s="6" t="s">
        <v>76</v>
      </c>
      <c r="D64" s="1"/>
      <c r="E64" s="1"/>
      <c r="F64" s="1"/>
      <c r="G64" s="1" t="s">
        <v>65</v>
      </c>
      <c r="H64" s="7" t="s">
        <v>11</v>
      </c>
    </row>
    <row r="65" spans="1:8" ht="13.2">
      <c r="A65">
        <f t="shared" si="0"/>
        <v>64</v>
      </c>
      <c r="B65" s="5">
        <v>64</v>
      </c>
      <c r="C65" s="6" t="s">
        <v>77</v>
      </c>
      <c r="D65" s="1" t="s">
        <v>9</v>
      </c>
      <c r="E65" s="1" t="s">
        <v>9</v>
      </c>
      <c r="F65" s="1" t="s">
        <v>8</v>
      </c>
      <c r="G65" s="1" t="s">
        <v>63</v>
      </c>
      <c r="H65" s="7" t="s">
        <v>11</v>
      </c>
    </row>
    <row r="66" spans="1:8" ht="13.2">
      <c r="A66">
        <f t="shared" si="0"/>
        <v>65</v>
      </c>
      <c r="B66" s="5">
        <v>65</v>
      </c>
      <c r="C66" s="6" t="s">
        <v>78</v>
      </c>
      <c r="D66" s="1" t="s">
        <v>9</v>
      </c>
      <c r="E66" s="1" t="s">
        <v>9</v>
      </c>
      <c r="F66" s="1" t="s">
        <v>8</v>
      </c>
      <c r="G66" s="1" t="s">
        <v>63</v>
      </c>
      <c r="H66" s="7" t="s">
        <v>11</v>
      </c>
    </row>
    <row r="67" spans="1:8" ht="13.2">
      <c r="A67">
        <f t="shared" si="0"/>
        <v>66</v>
      </c>
      <c r="B67" s="5">
        <v>66</v>
      </c>
      <c r="C67" s="6" t="s">
        <v>79</v>
      </c>
      <c r="D67" s="1" t="s">
        <v>9</v>
      </c>
      <c r="E67" s="1" t="s">
        <v>9</v>
      </c>
      <c r="F67" s="1" t="s">
        <v>8</v>
      </c>
      <c r="G67" s="1" t="s">
        <v>63</v>
      </c>
      <c r="H67" s="7" t="s">
        <v>11</v>
      </c>
    </row>
    <row r="68" spans="1:8" ht="13.2">
      <c r="A68">
        <f t="shared" ref="A68:A131" si="1">A67+1</f>
        <v>67</v>
      </c>
      <c r="B68" s="5">
        <v>67</v>
      </c>
      <c r="C68" s="6" t="s">
        <v>80</v>
      </c>
      <c r="D68" s="1" t="s">
        <v>9</v>
      </c>
      <c r="E68" s="1" t="s">
        <v>8</v>
      </c>
      <c r="F68" s="1" t="s">
        <v>8</v>
      </c>
      <c r="G68" s="1" t="s">
        <v>63</v>
      </c>
      <c r="H68" s="7" t="s">
        <v>11</v>
      </c>
    </row>
    <row r="69" spans="1:8" ht="13.2">
      <c r="A69">
        <f t="shared" si="1"/>
        <v>68</v>
      </c>
      <c r="B69" s="5">
        <v>68</v>
      </c>
      <c r="C69" s="6" t="s">
        <v>81</v>
      </c>
      <c r="D69" s="1"/>
      <c r="E69" s="1"/>
      <c r="F69" s="1"/>
      <c r="G69" s="1" t="s">
        <v>65</v>
      </c>
      <c r="H69" s="7" t="s">
        <v>11</v>
      </c>
    </row>
    <row r="70" spans="1:8" ht="13.2">
      <c r="A70">
        <f t="shared" si="1"/>
        <v>69</v>
      </c>
      <c r="B70" s="5">
        <v>69</v>
      </c>
      <c r="C70" s="6" t="s">
        <v>82</v>
      </c>
      <c r="D70" s="1" t="s">
        <v>9</v>
      </c>
      <c r="E70" s="1" t="s">
        <v>9</v>
      </c>
      <c r="F70" s="1" t="s">
        <v>9</v>
      </c>
      <c r="G70" s="1" t="s">
        <v>63</v>
      </c>
      <c r="H70" s="7" t="s">
        <v>11</v>
      </c>
    </row>
    <row r="71" spans="1:8" ht="13.2">
      <c r="A71">
        <f t="shared" si="1"/>
        <v>70</v>
      </c>
      <c r="B71" s="5">
        <v>70</v>
      </c>
      <c r="C71" s="6" t="s">
        <v>83</v>
      </c>
      <c r="D71" s="1" t="s">
        <v>9</v>
      </c>
      <c r="E71" s="1" t="s">
        <v>8</v>
      </c>
      <c r="F71" s="1" t="s">
        <v>8</v>
      </c>
      <c r="G71" s="1" t="s">
        <v>63</v>
      </c>
      <c r="H71" s="7" t="s">
        <v>11</v>
      </c>
    </row>
    <row r="72" spans="1:8" ht="13.2">
      <c r="A72">
        <f t="shared" si="1"/>
        <v>71</v>
      </c>
      <c r="B72" s="5">
        <v>71</v>
      </c>
      <c r="C72" s="6" t="s">
        <v>84</v>
      </c>
      <c r="D72" s="1" t="s">
        <v>9</v>
      </c>
      <c r="E72" s="1" t="s">
        <v>8</v>
      </c>
      <c r="F72" s="1" t="s">
        <v>8</v>
      </c>
      <c r="G72" s="1" t="s">
        <v>63</v>
      </c>
      <c r="H72" s="7" t="s">
        <v>11</v>
      </c>
    </row>
    <row r="73" spans="1:8" ht="13.2">
      <c r="A73">
        <f t="shared" si="1"/>
        <v>72</v>
      </c>
      <c r="B73" s="5">
        <v>72</v>
      </c>
      <c r="C73" s="6" t="s">
        <v>85</v>
      </c>
      <c r="D73" s="1" t="s">
        <v>9</v>
      </c>
      <c r="E73" s="1" t="s">
        <v>8</v>
      </c>
      <c r="F73" s="1" t="s">
        <v>8</v>
      </c>
      <c r="G73" s="1" t="s">
        <v>63</v>
      </c>
      <c r="H73" s="7" t="s">
        <v>11</v>
      </c>
    </row>
    <row r="74" spans="1:8" ht="13.2">
      <c r="A74">
        <f t="shared" si="1"/>
        <v>73</v>
      </c>
      <c r="B74" s="5">
        <v>73</v>
      </c>
      <c r="C74" s="6" t="s">
        <v>86</v>
      </c>
      <c r="D74" s="1" t="s">
        <v>9</v>
      </c>
      <c r="E74" s="1" t="s">
        <v>8</v>
      </c>
      <c r="F74" s="1" t="s">
        <v>8</v>
      </c>
      <c r="G74" s="1" t="s">
        <v>63</v>
      </c>
      <c r="H74" s="7" t="s">
        <v>11</v>
      </c>
    </row>
    <row r="75" spans="1:8" ht="13.2">
      <c r="A75">
        <f t="shared" si="1"/>
        <v>74</v>
      </c>
      <c r="B75" s="5">
        <v>74</v>
      </c>
      <c r="C75" s="6" t="s">
        <v>87</v>
      </c>
      <c r="D75" s="1"/>
      <c r="E75" s="1"/>
      <c r="F75" s="1"/>
      <c r="G75" s="1" t="s">
        <v>65</v>
      </c>
      <c r="H75" s="7" t="s">
        <v>11</v>
      </c>
    </row>
    <row r="76" spans="1:8" ht="13.2">
      <c r="A76">
        <f t="shared" si="1"/>
        <v>75</v>
      </c>
      <c r="B76" s="5">
        <v>75</v>
      </c>
      <c r="C76" s="6" t="s">
        <v>88</v>
      </c>
      <c r="D76" s="1"/>
      <c r="E76" s="1"/>
      <c r="F76" s="1"/>
      <c r="G76" s="1" t="s">
        <v>65</v>
      </c>
      <c r="H76" s="7" t="s">
        <v>11</v>
      </c>
    </row>
    <row r="77" spans="1:8" ht="13.2">
      <c r="A77">
        <f t="shared" si="1"/>
        <v>76</v>
      </c>
      <c r="B77" s="5">
        <v>76</v>
      </c>
      <c r="C77" s="6" t="s">
        <v>89</v>
      </c>
      <c r="D77" s="1" t="s">
        <v>9</v>
      </c>
      <c r="E77" s="1" t="s">
        <v>8</v>
      </c>
      <c r="F77" s="1" t="s">
        <v>8</v>
      </c>
      <c r="G77" s="1" t="s">
        <v>63</v>
      </c>
      <c r="H77" s="7" t="s">
        <v>11</v>
      </c>
    </row>
    <row r="78" spans="1:8" ht="13.2">
      <c r="A78">
        <f t="shared" si="1"/>
        <v>77</v>
      </c>
      <c r="B78" s="5">
        <v>77</v>
      </c>
      <c r="C78" s="6" t="s">
        <v>90</v>
      </c>
      <c r="D78" s="1" t="s">
        <v>9</v>
      </c>
      <c r="E78" s="1" t="s">
        <v>9</v>
      </c>
      <c r="F78" s="1" t="s">
        <v>8</v>
      </c>
      <c r="G78" s="1" t="s">
        <v>63</v>
      </c>
      <c r="H78" s="7" t="s">
        <v>11</v>
      </c>
    </row>
    <row r="79" spans="1:8" ht="13.2">
      <c r="A79">
        <f t="shared" si="1"/>
        <v>78</v>
      </c>
      <c r="B79" s="5">
        <v>78</v>
      </c>
      <c r="C79" s="6" t="s">
        <v>91</v>
      </c>
      <c r="D79" s="1"/>
      <c r="E79" s="1"/>
      <c r="F79" s="1"/>
      <c r="G79" s="1" t="s">
        <v>65</v>
      </c>
      <c r="H79" s="7" t="s">
        <v>11</v>
      </c>
    </row>
    <row r="80" spans="1:8" ht="13.2">
      <c r="A80">
        <f t="shared" si="1"/>
        <v>79</v>
      </c>
      <c r="B80" s="5">
        <v>79</v>
      </c>
      <c r="C80" s="6" t="s">
        <v>92</v>
      </c>
      <c r="D80" s="1"/>
      <c r="E80" s="1"/>
      <c r="F80" s="1"/>
      <c r="G80" s="1" t="s">
        <v>65</v>
      </c>
      <c r="H80" s="7" t="s">
        <v>11</v>
      </c>
    </row>
    <row r="81" spans="1:8" ht="13.2">
      <c r="A81">
        <f t="shared" si="1"/>
        <v>80</v>
      </c>
      <c r="B81" s="5">
        <v>80</v>
      </c>
      <c r="C81" s="6" t="s">
        <v>93</v>
      </c>
      <c r="D81" s="1" t="s">
        <v>9</v>
      </c>
      <c r="E81" s="1" t="s">
        <v>9</v>
      </c>
      <c r="F81" s="1" t="s">
        <v>8</v>
      </c>
      <c r="G81" s="1" t="s">
        <v>63</v>
      </c>
      <c r="H81" s="7" t="s">
        <v>11</v>
      </c>
    </row>
    <row r="82" spans="1:8" ht="13.2">
      <c r="A82">
        <f t="shared" si="1"/>
        <v>81</v>
      </c>
      <c r="B82" s="5">
        <v>81</v>
      </c>
      <c r="C82" s="6" t="s">
        <v>94</v>
      </c>
      <c r="D82" s="1"/>
      <c r="E82" s="1"/>
      <c r="F82" s="1"/>
      <c r="G82" s="1" t="s">
        <v>65</v>
      </c>
      <c r="H82" s="7" t="s">
        <v>11</v>
      </c>
    </row>
    <row r="83" spans="1:8" ht="13.2">
      <c r="A83">
        <f t="shared" si="1"/>
        <v>82</v>
      </c>
      <c r="B83" s="5">
        <v>82</v>
      </c>
      <c r="C83" s="6" t="s">
        <v>95</v>
      </c>
      <c r="D83" s="1"/>
      <c r="E83" s="1"/>
      <c r="F83" s="1"/>
      <c r="G83" s="1" t="s">
        <v>65</v>
      </c>
      <c r="H83" s="7" t="s">
        <v>11</v>
      </c>
    </row>
    <row r="84" spans="1:8" ht="13.2">
      <c r="A84">
        <f t="shared" si="1"/>
        <v>83</v>
      </c>
      <c r="B84" s="5">
        <v>83</v>
      </c>
      <c r="C84" s="6" t="s">
        <v>96</v>
      </c>
      <c r="D84" s="1"/>
      <c r="E84" s="1"/>
      <c r="F84" s="1"/>
      <c r="G84" s="1" t="s">
        <v>65</v>
      </c>
      <c r="H84" s="7" t="s">
        <v>11</v>
      </c>
    </row>
    <row r="85" spans="1:8" ht="13.2">
      <c r="A85">
        <f t="shared" si="1"/>
        <v>84</v>
      </c>
      <c r="B85" s="5">
        <v>84</v>
      </c>
      <c r="C85" s="6" t="s">
        <v>97</v>
      </c>
      <c r="D85" s="1" t="s">
        <v>9</v>
      </c>
      <c r="E85" s="1" t="s">
        <v>9</v>
      </c>
      <c r="F85" s="1" t="s">
        <v>8</v>
      </c>
      <c r="G85" s="1" t="s">
        <v>63</v>
      </c>
      <c r="H85" s="7" t="s">
        <v>11</v>
      </c>
    </row>
    <row r="86" spans="1:8" ht="13.2">
      <c r="A86">
        <f t="shared" si="1"/>
        <v>85</v>
      </c>
      <c r="B86" s="5">
        <v>85</v>
      </c>
      <c r="C86" s="6" t="s">
        <v>98</v>
      </c>
      <c r="D86" s="1"/>
      <c r="E86" s="1"/>
      <c r="F86" s="1"/>
      <c r="G86" s="1" t="s">
        <v>65</v>
      </c>
      <c r="H86" s="7" t="s">
        <v>11</v>
      </c>
    </row>
    <row r="87" spans="1:8" ht="13.2">
      <c r="A87">
        <f t="shared" si="1"/>
        <v>86</v>
      </c>
      <c r="B87" s="5">
        <v>86</v>
      </c>
      <c r="C87" s="6" t="s">
        <v>99</v>
      </c>
      <c r="D87" s="1"/>
      <c r="E87" s="1"/>
      <c r="F87" s="1"/>
      <c r="G87" s="1" t="s">
        <v>65</v>
      </c>
      <c r="H87" s="7" t="s">
        <v>11</v>
      </c>
    </row>
    <row r="88" spans="1:8" ht="13.2">
      <c r="A88">
        <f t="shared" si="1"/>
        <v>87</v>
      </c>
      <c r="B88" s="5">
        <v>87</v>
      </c>
      <c r="C88" s="6" t="s">
        <v>100</v>
      </c>
      <c r="D88" s="1" t="s">
        <v>9</v>
      </c>
      <c r="E88" s="1" t="s">
        <v>9</v>
      </c>
      <c r="F88" s="1" t="s">
        <v>9</v>
      </c>
      <c r="G88" s="1" t="s">
        <v>63</v>
      </c>
      <c r="H88" s="7" t="s">
        <v>11</v>
      </c>
    </row>
    <row r="89" spans="1:8" ht="13.2">
      <c r="A89">
        <f t="shared" si="1"/>
        <v>88</v>
      </c>
      <c r="B89" s="5">
        <v>88</v>
      </c>
      <c r="C89" s="6" t="s">
        <v>101</v>
      </c>
      <c r="D89" s="1"/>
      <c r="E89" s="1"/>
      <c r="F89" s="1"/>
      <c r="G89" s="1" t="s">
        <v>65</v>
      </c>
      <c r="H89" s="7" t="s">
        <v>11</v>
      </c>
    </row>
    <row r="90" spans="1:8" ht="13.2">
      <c r="A90">
        <f t="shared" si="1"/>
        <v>89</v>
      </c>
      <c r="B90" s="5">
        <v>89</v>
      </c>
      <c r="C90" s="6" t="s">
        <v>102</v>
      </c>
      <c r="D90" s="1"/>
      <c r="E90" s="1"/>
      <c r="F90" s="1"/>
      <c r="G90" s="1" t="s">
        <v>65</v>
      </c>
      <c r="H90" s="7" t="s">
        <v>11</v>
      </c>
    </row>
    <row r="91" spans="1:8" ht="13.2">
      <c r="A91">
        <f t="shared" si="1"/>
        <v>90</v>
      </c>
      <c r="B91" s="5">
        <v>90</v>
      </c>
      <c r="C91" s="6" t="s">
        <v>103</v>
      </c>
      <c r="D91" s="1"/>
      <c r="E91" s="1"/>
      <c r="F91" s="1"/>
      <c r="G91" s="1" t="s">
        <v>65</v>
      </c>
      <c r="H91" s="7" t="s">
        <v>11</v>
      </c>
    </row>
    <row r="92" spans="1:8" ht="13.2">
      <c r="A92">
        <f t="shared" si="1"/>
        <v>91</v>
      </c>
      <c r="B92" s="5">
        <v>91</v>
      </c>
      <c r="C92" s="6" t="s">
        <v>104</v>
      </c>
      <c r="D92" s="1"/>
      <c r="E92" s="1"/>
      <c r="F92" s="1"/>
      <c r="G92" s="1" t="s">
        <v>65</v>
      </c>
      <c r="H92" s="7" t="s">
        <v>11</v>
      </c>
    </row>
    <row r="93" spans="1:8" ht="13.2">
      <c r="A93">
        <f t="shared" si="1"/>
        <v>92</v>
      </c>
      <c r="B93" s="5">
        <v>92</v>
      </c>
      <c r="C93" s="6" t="s">
        <v>105</v>
      </c>
      <c r="D93" s="1"/>
      <c r="E93" s="1"/>
      <c r="F93" s="1"/>
      <c r="G93" s="1" t="s">
        <v>65</v>
      </c>
      <c r="H93" s="7" t="s">
        <v>11</v>
      </c>
    </row>
    <row r="94" spans="1:8" ht="13.2">
      <c r="A94">
        <f t="shared" si="1"/>
        <v>93</v>
      </c>
      <c r="B94" s="5">
        <v>93</v>
      </c>
      <c r="C94" s="6" t="s">
        <v>106</v>
      </c>
      <c r="D94" s="1" t="s">
        <v>8</v>
      </c>
      <c r="E94" s="1" t="s">
        <v>9</v>
      </c>
      <c r="F94" s="1" t="s">
        <v>8</v>
      </c>
      <c r="G94" s="1" t="s">
        <v>63</v>
      </c>
      <c r="H94" s="7" t="s">
        <v>11</v>
      </c>
    </row>
    <row r="95" spans="1:8" ht="13.2">
      <c r="A95">
        <f t="shared" si="1"/>
        <v>94</v>
      </c>
      <c r="B95" s="5">
        <v>94</v>
      </c>
      <c r="C95" s="6" t="s">
        <v>107</v>
      </c>
      <c r="D95" s="1" t="s">
        <v>9</v>
      </c>
      <c r="E95" s="1" t="s">
        <v>9</v>
      </c>
      <c r="F95" s="1" t="s">
        <v>8</v>
      </c>
      <c r="G95" s="1" t="s">
        <v>63</v>
      </c>
      <c r="H95" s="7" t="s">
        <v>11</v>
      </c>
    </row>
    <row r="96" spans="1:8" ht="13.2">
      <c r="A96">
        <f t="shared" si="1"/>
        <v>95</v>
      </c>
      <c r="B96" s="5">
        <v>95</v>
      </c>
      <c r="C96" s="6" t="s">
        <v>108</v>
      </c>
      <c r="D96" s="1" t="s">
        <v>9</v>
      </c>
      <c r="E96" s="1" t="s">
        <v>9</v>
      </c>
      <c r="F96" s="1" t="s">
        <v>8</v>
      </c>
      <c r="G96" s="1" t="s">
        <v>63</v>
      </c>
      <c r="H96" s="7" t="s">
        <v>11</v>
      </c>
    </row>
    <row r="97" spans="1:8" ht="13.2">
      <c r="A97">
        <f t="shared" si="1"/>
        <v>96</v>
      </c>
      <c r="B97" s="5">
        <v>96</v>
      </c>
      <c r="C97" s="6" t="s">
        <v>109</v>
      </c>
      <c r="D97" s="1"/>
      <c r="E97" s="1"/>
      <c r="F97" s="1"/>
      <c r="G97" s="1" t="s">
        <v>65</v>
      </c>
      <c r="H97" s="7" t="s">
        <v>11</v>
      </c>
    </row>
    <row r="98" spans="1:8" ht="13.2">
      <c r="A98">
        <f t="shared" si="1"/>
        <v>97</v>
      </c>
      <c r="B98" s="5">
        <v>97</v>
      </c>
      <c r="C98" s="6" t="s">
        <v>110</v>
      </c>
      <c r="D98" s="1"/>
      <c r="E98" s="1"/>
      <c r="F98" s="1"/>
      <c r="G98" s="1" t="s">
        <v>65</v>
      </c>
      <c r="H98" s="7" t="s">
        <v>11</v>
      </c>
    </row>
    <row r="99" spans="1:8" ht="13.2">
      <c r="A99">
        <f t="shared" si="1"/>
        <v>98</v>
      </c>
      <c r="B99" s="5">
        <v>98</v>
      </c>
      <c r="C99" s="6" t="s">
        <v>111</v>
      </c>
      <c r="D99" s="1" t="s">
        <v>9</v>
      </c>
      <c r="E99" s="1" t="s">
        <v>9</v>
      </c>
      <c r="F99" s="1" t="s">
        <v>9</v>
      </c>
      <c r="G99" s="1" t="s">
        <v>63</v>
      </c>
      <c r="H99" s="7" t="s">
        <v>11</v>
      </c>
    </row>
    <row r="100" spans="1:8" ht="13.2">
      <c r="A100">
        <f t="shared" si="1"/>
        <v>99</v>
      </c>
      <c r="B100" s="5">
        <v>99</v>
      </c>
      <c r="C100" s="6" t="s">
        <v>112</v>
      </c>
      <c r="D100" s="1" t="s">
        <v>9</v>
      </c>
      <c r="E100" s="1" t="s">
        <v>9</v>
      </c>
      <c r="F100" s="1" t="s">
        <v>9</v>
      </c>
      <c r="G100" s="1" t="s">
        <v>63</v>
      </c>
      <c r="H100" s="7" t="s">
        <v>11</v>
      </c>
    </row>
    <row r="101" spans="1:8" ht="13.2">
      <c r="A101">
        <f t="shared" si="1"/>
        <v>100</v>
      </c>
      <c r="B101" s="29">
        <v>100</v>
      </c>
      <c r="C101" s="6" t="s">
        <v>113</v>
      </c>
      <c r="D101" s="1" t="s">
        <v>9</v>
      </c>
      <c r="E101" s="1" t="s">
        <v>9</v>
      </c>
      <c r="F101" s="1" t="s">
        <v>8</v>
      </c>
      <c r="G101" s="1" t="s">
        <v>63</v>
      </c>
      <c r="H101" s="7" t="s">
        <v>11</v>
      </c>
    </row>
    <row r="102" spans="1:8" ht="13.2">
      <c r="A102">
        <f t="shared" si="1"/>
        <v>101</v>
      </c>
      <c r="B102" s="22">
        <v>101</v>
      </c>
      <c r="C102" s="1" t="s">
        <v>182</v>
      </c>
      <c r="D102" s="1"/>
      <c r="E102" s="1"/>
      <c r="F102" s="1"/>
      <c r="G102" s="1" t="s">
        <v>10</v>
      </c>
      <c r="H102" s="7" t="s">
        <v>11</v>
      </c>
    </row>
    <row r="103" spans="1:8" ht="13.2">
      <c r="A103">
        <f t="shared" si="1"/>
        <v>102</v>
      </c>
      <c r="B103" s="9">
        <v>102</v>
      </c>
      <c r="C103" t="s">
        <v>183</v>
      </c>
      <c r="D103" s="19" t="s">
        <v>9</v>
      </c>
      <c r="E103" s="18" t="s">
        <v>8</v>
      </c>
      <c r="F103" s="18" t="s">
        <v>8</v>
      </c>
      <c r="G103" t="s">
        <v>10</v>
      </c>
      <c r="H103" s="10" t="s">
        <v>185</v>
      </c>
    </row>
    <row r="104" spans="1:8" ht="13.2">
      <c r="A104">
        <f t="shared" si="1"/>
        <v>103</v>
      </c>
      <c r="B104" s="9">
        <v>103</v>
      </c>
      <c r="C104" t="s">
        <v>186</v>
      </c>
      <c r="D104" s="19" t="s">
        <v>9</v>
      </c>
      <c r="E104" s="19" t="s">
        <v>9</v>
      </c>
      <c r="F104" s="19" t="s">
        <v>9</v>
      </c>
      <c r="G104" t="s">
        <v>10</v>
      </c>
      <c r="H104" s="10" t="s">
        <v>185</v>
      </c>
    </row>
    <row r="105" spans="1:8" ht="13.2">
      <c r="A105">
        <f t="shared" si="1"/>
        <v>104</v>
      </c>
      <c r="B105" s="9">
        <v>104</v>
      </c>
      <c r="C105" t="s">
        <v>188</v>
      </c>
      <c r="D105" s="18" t="s">
        <v>8</v>
      </c>
      <c r="E105" s="19" t="s">
        <v>9</v>
      </c>
      <c r="F105" s="19" t="s">
        <v>9</v>
      </c>
      <c r="G105" t="s">
        <v>10</v>
      </c>
      <c r="H105" s="10" t="s">
        <v>185</v>
      </c>
    </row>
    <row r="106" spans="1:8" ht="13.2">
      <c r="A106">
        <f t="shared" si="1"/>
        <v>105</v>
      </c>
      <c r="B106" s="9">
        <v>105</v>
      </c>
      <c r="C106" t="s">
        <v>190</v>
      </c>
      <c r="E106" s="19"/>
      <c r="F106" s="19"/>
      <c r="G106" t="s">
        <v>19</v>
      </c>
      <c r="H106" s="10" t="s">
        <v>185</v>
      </c>
    </row>
    <row r="107" spans="1:8" ht="13.2">
      <c r="A107">
        <f t="shared" si="1"/>
        <v>106</v>
      </c>
      <c r="B107" s="9">
        <v>106</v>
      </c>
      <c r="C107" t="s">
        <v>191</v>
      </c>
      <c r="D107" s="18" t="s">
        <v>8</v>
      </c>
      <c r="E107" s="19" t="s">
        <v>9</v>
      </c>
      <c r="F107" s="19" t="s">
        <v>9</v>
      </c>
      <c r="G107" t="s">
        <v>10</v>
      </c>
      <c r="H107" s="10" t="s">
        <v>185</v>
      </c>
    </row>
    <row r="108" spans="1:8" ht="13.2">
      <c r="A108">
        <f t="shared" si="1"/>
        <v>107</v>
      </c>
      <c r="B108" s="9">
        <v>107</v>
      </c>
      <c r="C108" t="s">
        <v>193</v>
      </c>
      <c r="D108" s="18" t="s">
        <v>8</v>
      </c>
      <c r="E108" s="19" t="s">
        <v>9</v>
      </c>
      <c r="F108" s="19" t="s">
        <v>9</v>
      </c>
      <c r="G108" t="s">
        <v>10</v>
      </c>
      <c r="H108" s="10" t="s">
        <v>185</v>
      </c>
    </row>
    <row r="109" spans="1:8" ht="13.2">
      <c r="A109">
        <f t="shared" si="1"/>
        <v>108</v>
      </c>
      <c r="B109" s="9">
        <v>108</v>
      </c>
      <c r="C109" t="s">
        <v>195</v>
      </c>
      <c r="G109" t="s">
        <v>19</v>
      </c>
      <c r="H109" s="10" t="s">
        <v>185</v>
      </c>
    </row>
    <row r="110" spans="1:8" ht="13.2">
      <c r="A110">
        <f t="shared" si="1"/>
        <v>109</v>
      </c>
      <c r="B110" s="9">
        <v>109</v>
      </c>
      <c r="C110" t="s">
        <v>196</v>
      </c>
      <c r="D110" s="19" t="s">
        <v>9</v>
      </c>
      <c r="E110" s="19" t="s">
        <v>9</v>
      </c>
      <c r="F110" s="19" t="s">
        <v>9</v>
      </c>
      <c r="G110" t="s">
        <v>10</v>
      </c>
      <c r="H110" s="10" t="s">
        <v>185</v>
      </c>
    </row>
    <row r="111" spans="1:8" ht="13.2">
      <c r="A111">
        <f t="shared" si="1"/>
        <v>110</v>
      </c>
      <c r="B111" s="9">
        <v>110</v>
      </c>
      <c r="C111" t="s">
        <v>197</v>
      </c>
      <c r="D111" s="19" t="s">
        <v>9</v>
      </c>
      <c r="E111" s="18" t="s">
        <v>8</v>
      </c>
      <c r="F111" s="19" t="s">
        <v>9</v>
      </c>
      <c r="G111" t="s">
        <v>10</v>
      </c>
      <c r="H111" s="10" t="s">
        <v>185</v>
      </c>
    </row>
    <row r="112" spans="1:8" ht="13.2">
      <c r="A112">
        <f t="shared" si="1"/>
        <v>111</v>
      </c>
      <c r="B112" s="9">
        <v>111</v>
      </c>
      <c r="C112" t="s">
        <v>197</v>
      </c>
      <c r="D112" s="18" t="s">
        <v>8</v>
      </c>
      <c r="E112" s="18" t="s">
        <v>8</v>
      </c>
      <c r="F112" s="19" t="s">
        <v>9</v>
      </c>
      <c r="G112" t="s">
        <v>10</v>
      </c>
      <c r="H112" s="10" t="s">
        <v>185</v>
      </c>
    </row>
    <row r="113" spans="1:8" ht="13.2">
      <c r="A113">
        <f t="shared" si="1"/>
        <v>112</v>
      </c>
      <c r="B113" s="9">
        <v>112</v>
      </c>
      <c r="C113" t="s">
        <v>200</v>
      </c>
      <c r="G113" t="s">
        <v>19</v>
      </c>
      <c r="H113" s="10" t="s">
        <v>185</v>
      </c>
    </row>
    <row r="114" spans="1:8" ht="13.2">
      <c r="A114">
        <f t="shared" si="1"/>
        <v>113</v>
      </c>
      <c r="B114" s="9">
        <v>113</v>
      </c>
      <c r="C114" t="s">
        <v>201</v>
      </c>
      <c r="D114" s="19" t="s">
        <v>9</v>
      </c>
      <c r="E114" s="19" t="s">
        <v>9</v>
      </c>
      <c r="F114" s="19" t="s">
        <v>9</v>
      </c>
      <c r="G114" t="s">
        <v>10</v>
      </c>
      <c r="H114" s="10" t="s">
        <v>185</v>
      </c>
    </row>
    <row r="115" spans="1:8" ht="13.2">
      <c r="A115">
        <f t="shared" si="1"/>
        <v>114</v>
      </c>
      <c r="B115" s="9">
        <v>114</v>
      </c>
      <c r="C115" t="s">
        <v>203</v>
      </c>
      <c r="G115" t="s">
        <v>19</v>
      </c>
      <c r="H115" s="10" t="s">
        <v>185</v>
      </c>
    </row>
    <row r="116" spans="1:8" ht="13.2">
      <c r="A116">
        <f t="shared" si="1"/>
        <v>115</v>
      </c>
      <c r="B116" s="9">
        <v>115</v>
      </c>
      <c r="C116" t="s">
        <v>204</v>
      </c>
      <c r="G116" t="s">
        <v>19</v>
      </c>
      <c r="H116" s="10" t="s">
        <v>185</v>
      </c>
    </row>
    <row r="117" spans="1:8" ht="13.2">
      <c r="A117">
        <f t="shared" si="1"/>
        <v>116</v>
      </c>
      <c r="B117" s="9">
        <v>116</v>
      </c>
      <c r="C117" t="s">
        <v>205</v>
      </c>
      <c r="D117" s="18" t="s">
        <v>8</v>
      </c>
      <c r="E117" s="19" t="s">
        <v>9</v>
      </c>
      <c r="F117" s="19" t="s">
        <v>9</v>
      </c>
      <c r="G117" t="s">
        <v>10</v>
      </c>
      <c r="H117" s="10" t="s">
        <v>185</v>
      </c>
    </row>
    <row r="118" spans="1:8" ht="13.2">
      <c r="A118">
        <f t="shared" si="1"/>
        <v>117</v>
      </c>
      <c r="B118" s="9">
        <v>117</v>
      </c>
      <c r="C118" t="s">
        <v>206</v>
      </c>
      <c r="D118" s="18" t="s">
        <v>8</v>
      </c>
      <c r="E118" s="19" t="s">
        <v>9</v>
      </c>
      <c r="F118" s="19" t="s">
        <v>9</v>
      </c>
      <c r="G118" t="s">
        <v>10</v>
      </c>
      <c r="H118" s="10" t="s">
        <v>185</v>
      </c>
    </row>
    <row r="119" spans="1:8" ht="13.2">
      <c r="A119">
        <f t="shared" si="1"/>
        <v>118</v>
      </c>
      <c r="B119" s="9">
        <v>118</v>
      </c>
      <c r="C119" t="s">
        <v>207</v>
      </c>
      <c r="G119" t="s">
        <v>19</v>
      </c>
      <c r="H119" s="10" t="s">
        <v>185</v>
      </c>
    </row>
    <row r="120" spans="1:8" ht="13.2">
      <c r="A120">
        <f t="shared" si="1"/>
        <v>119</v>
      </c>
      <c r="B120" s="9">
        <v>119</v>
      </c>
      <c r="C120" t="s">
        <v>208</v>
      </c>
      <c r="D120" s="19" t="s">
        <v>9</v>
      </c>
      <c r="E120" s="18" t="s">
        <v>8</v>
      </c>
      <c r="F120" s="19" t="s">
        <v>9</v>
      </c>
      <c r="G120" t="s">
        <v>10</v>
      </c>
      <c r="H120" s="10" t="s">
        <v>185</v>
      </c>
    </row>
    <row r="121" spans="1:8" ht="13.2">
      <c r="A121">
        <f t="shared" si="1"/>
        <v>120</v>
      </c>
      <c r="B121" s="9">
        <v>120</v>
      </c>
      <c r="C121" t="s">
        <v>209</v>
      </c>
      <c r="D121" s="18" t="s">
        <v>8</v>
      </c>
      <c r="E121" s="19" t="s">
        <v>9</v>
      </c>
      <c r="F121" s="19" t="s">
        <v>9</v>
      </c>
      <c r="G121" t="s">
        <v>10</v>
      </c>
      <c r="H121" s="10" t="s">
        <v>185</v>
      </c>
    </row>
    <row r="122" spans="1:8" ht="13.2">
      <c r="A122">
        <f t="shared" si="1"/>
        <v>121</v>
      </c>
      <c r="B122" s="9">
        <v>121</v>
      </c>
      <c r="C122" t="s">
        <v>210</v>
      </c>
      <c r="G122" t="s">
        <v>19</v>
      </c>
      <c r="H122" s="10" t="s">
        <v>185</v>
      </c>
    </row>
    <row r="123" spans="1:8" ht="13.2">
      <c r="A123">
        <f t="shared" si="1"/>
        <v>122</v>
      </c>
      <c r="B123" s="9">
        <v>122</v>
      </c>
      <c r="C123" t="s">
        <v>211</v>
      </c>
      <c r="D123" s="19" t="s">
        <v>9</v>
      </c>
      <c r="E123" s="18" t="s">
        <v>8</v>
      </c>
      <c r="F123" s="19" t="s">
        <v>9</v>
      </c>
      <c r="G123" t="s">
        <v>10</v>
      </c>
      <c r="H123" s="10" t="s">
        <v>185</v>
      </c>
    </row>
    <row r="124" spans="1:8" ht="13.2">
      <c r="A124">
        <f t="shared" si="1"/>
        <v>123</v>
      </c>
      <c r="B124" s="9">
        <v>123</v>
      </c>
      <c r="C124" t="s">
        <v>212</v>
      </c>
      <c r="D124" s="19" t="s">
        <v>9</v>
      </c>
      <c r="E124" s="19" t="s">
        <v>9</v>
      </c>
      <c r="F124" s="19" t="s">
        <v>9</v>
      </c>
      <c r="G124" t="s">
        <v>10</v>
      </c>
      <c r="H124" s="10" t="s">
        <v>185</v>
      </c>
    </row>
    <row r="125" spans="1:8" ht="13.2">
      <c r="A125">
        <f t="shared" si="1"/>
        <v>124</v>
      </c>
      <c r="B125" s="9">
        <v>124</v>
      </c>
      <c r="C125" t="s">
        <v>213</v>
      </c>
      <c r="G125" t="s">
        <v>19</v>
      </c>
      <c r="H125" s="10" t="s">
        <v>185</v>
      </c>
    </row>
    <row r="126" spans="1:8" ht="13.2">
      <c r="A126">
        <f t="shared" si="1"/>
        <v>125</v>
      </c>
      <c r="B126" s="9">
        <v>125</v>
      </c>
      <c r="C126" t="s">
        <v>214</v>
      </c>
      <c r="G126" t="s">
        <v>10</v>
      </c>
      <c r="H126" s="10" t="s">
        <v>185</v>
      </c>
    </row>
    <row r="127" spans="1:8" ht="13.2">
      <c r="A127">
        <f t="shared" si="1"/>
        <v>126</v>
      </c>
      <c r="B127" s="9">
        <v>126</v>
      </c>
      <c r="C127" t="s">
        <v>215</v>
      </c>
      <c r="D127" s="18" t="s">
        <v>8</v>
      </c>
      <c r="E127" s="18" t="s">
        <v>8</v>
      </c>
      <c r="F127" s="19" t="s">
        <v>9</v>
      </c>
      <c r="G127" t="s">
        <v>10</v>
      </c>
      <c r="H127" s="10" t="s">
        <v>185</v>
      </c>
    </row>
    <row r="128" spans="1:8" ht="13.2">
      <c r="A128">
        <f t="shared" si="1"/>
        <v>127</v>
      </c>
      <c r="B128" s="9">
        <v>127</v>
      </c>
      <c r="C128" t="s">
        <v>216</v>
      </c>
      <c r="G128" t="s">
        <v>19</v>
      </c>
      <c r="H128" s="10" t="s">
        <v>185</v>
      </c>
    </row>
    <row r="129" spans="1:8" ht="13.2">
      <c r="A129">
        <f t="shared" si="1"/>
        <v>128</v>
      </c>
      <c r="B129" s="9">
        <v>128</v>
      </c>
      <c r="C129" t="s">
        <v>217</v>
      </c>
      <c r="D129" s="18" t="s">
        <v>8</v>
      </c>
      <c r="E129" s="19" t="s">
        <v>9</v>
      </c>
      <c r="F129" s="19" t="s">
        <v>9</v>
      </c>
      <c r="G129" t="s">
        <v>10</v>
      </c>
      <c r="H129" s="10" t="s">
        <v>185</v>
      </c>
    </row>
    <row r="130" spans="1:8" ht="13.2">
      <c r="A130">
        <f t="shared" si="1"/>
        <v>129</v>
      </c>
      <c r="B130" s="9">
        <v>129</v>
      </c>
      <c r="C130" t="s">
        <v>218</v>
      </c>
      <c r="D130" s="19" t="s">
        <v>9</v>
      </c>
      <c r="E130" s="19" t="s">
        <v>9</v>
      </c>
      <c r="F130" s="19" t="s">
        <v>9</v>
      </c>
      <c r="G130" t="s">
        <v>10</v>
      </c>
      <c r="H130" s="10" t="s">
        <v>185</v>
      </c>
    </row>
    <row r="131" spans="1:8" ht="13.2">
      <c r="A131">
        <f t="shared" si="1"/>
        <v>130</v>
      </c>
      <c r="B131" s="9">
        <v>130</v>
      </c>
      <c r="C131" t="s">
        <v>219</v>
      </c>
      <c r="D131" s="18" t="s">
        <v>8</v>
      </c>
      <c r="E131" s="18" t="s">
        <v>8</v>
      </c>
      <c r="F131" s="19" t="s">
        <v>9</v>
      </c>
      <c r="G131" t="s">
        <v>10</v>
      </c>
      <c r="H131" s="10" t="s">
        <v>185</v>
      </c>
    </row>
    <row r="132" spans="1:8" ht="13.2">
      <c r="A132">
        <f t="shared" ref="A132:A195" si="2">A131+1</f>
        <v>131</v>
      </c>
      <c r="B132" s="9">
        <v>131</v>
      </c>
      <c r="C132" t="s">
        <v>220</v>
      </c>
      <c r="D132" s="18" t="s">
        <v>8</v>
      </c>
      <c r="E132" s="19" t="s">
        <v>9</v>
      </c>
      <c r="F132" s="19" t="s">
        <v>9</v>
      </c>
      <c r="G132" t="s">
        <v>10</v>
      </c>
      <c r="H132" s="10" t="s">
        <v>185</v>
      </c>
    </row>
    <row r="133" spans="1:8" ht="13.2">
      <c r="A133">
        <f t="shared" si="2"/>
        <v>132</v>
      </c>
      <c r="B133" s="9">
        <v>132</v>
      </c>
      <c r="C133" t="s">
        <v>221</v>
      </c>
      <c r="D133" s="18" t="s">
        <v>8</v>
      </c>
      <c r="E133" s="18" t="s">
        <v>8</v>
      </c>
      <c r="F133" s="19" t="s">
        <v>9</v>
      </c>
      <c r="G133" t="s">
        <v>10</v>
      </c>
      <c r="H133" s="10" t="s">
        <v>185</v>
      </c>
    </row>
    <row r="134" spans="1:8" ht="13.2">
      <c r="A134">
        <f t="shared" si="2"/>
        <v>133</v>
      </c>
      <c r="B134" s="9">
        <v>133</v>
      </c>
      <c r="C134" t="s">
        <v>223</v>
      </c>
      <c r="D134" s="19" t="s">
        <v>9</v>
      </c>
      <c r="E134" s="18" t="s">
        <v>8</v>
      </c>
      <c r="F134" s="19" t="s">
        <v>9</v>
      </c>
      <c r="G134" t="s">
        <v>10</v>
      </c>
      <c r="H134" s="10" t="s">
        <v>185</v>
      </c>
    </row>
    <row r="135" spans="1:8" ht="13.2">
      <c r="A135">
        <f t="shared" si="2"/>
        <v>134</v>
      </c>
      <c r="B135" s="9">
        <v>134</v>
      </c>
      <c r="C135" t="s">
        <v>224</v>
      </c>
      <c r="D135" s="18" t="s">
        <v>8</v>
      </c>
      <c r="E135" s="18" t="s">
        <v>8</v>
      </c>
      <c r="F135" s="18" t="s">
        <v>8</v>
      </c>
      <c r="G135" t="s">
        <v>10</v>
      </c>
      <c r="H135" s="10" t="s">
        <v>185</v>
      </c>
    </row>
    <row r="136" spans="1:8" ht="13.2">
      <c r="A136">
        <f t="shared" si="2"/>
        <v>135</v>
      </c>
      <c r="B136" s="9">
        <v>135</v>
      </c>
      <c r="C136" t="s">
        <v>226</v>
      </c>
      <c r="D136" s="19" t="s">
        <v>9</v>
      </c>
      <c r="E136" s="19" t="s">
        <v>9</v>
      </c>
      <c r="F136" s="19" t="s">
        <v>9</v>
      </c>
      <c r="G136" t="s">
        <v>10</v>
      </c>
      <c r="H136" s="10" t="s">
        <v>185</v>
      </c>
    </row>
    <row r="137" spans="1:8" ht="13.2">
      <c r="A137">
        <f t="shared" si="2"/>
        <v>136</v>
      </c>
      <c r="B137" s="9">
        <v>136</v>
      </c>
      <c r="C137" t="s">
        <v>227</v>
      </c>
      <c r="G137" t="s">
        <v>19</v>
      </c>
      <c r="H137" s="10" t="s">
        <v>185</v>
      </c>
    </row>
    <row r="138" spans="1:8" ht="13.2">
      <c r="A138">
        <f t="shared" si="2"/>
        <v>137</v>
      </c>
      <c r="B138" s="9">
        <v>137</v>
      </c>
      <c r="C138" t="s">
        <v>228</v>
      </c>
      <c r="G138" t="s">
        <v>19</v>
      </c>
      <c r="H138" s="10" t="s">
        <v>185</v>
      </c>
    </row>
    <row r="139" spans="1:8" ht="13.2">
      <c r="A139">
        <f t="shared" si="2"/>
        <v>138</v>
      </c>
      <c r="B139" s="9">
        <v>138</v>
      </c>
      <c r="C139" t="s">
        <v>229</v>
      </c>
      <c r="D139" s="18" t="s">
        <v>8</v>
      </c>
      <c r="E139" s="18" t="s">
        <v>8</v>
      </c>
      <c r="F139" s="19" t="s">
        <v>9</v>
      </c>
      <c r="G139" t="s">
        <v>10</v>
      </c>
      <c r="H139" s="10" t="s">
        <v>185</v>
      </c>
    </row>
    <row r="140" spans="1:8" ht="13.2">
      <c r="A140">
        <f t="shared" si="2"/>
        <v>139</v>
      </c>
      <c r="B140" s="9">
        <v>139</v>
      </c>
      <c r="C140" t="s">
        <v>230</v>
      </c>
      <c r="D140" s="18" t="s">
        <v>8</v>
      </c>
      <c r="E140" s="19" t="s">
        <v>9</v>
      </c>
      <c r="F140" s="19" t="s">
        <v>9</v>
      </c>
      <c r="G140" t="s">
        <v>10</v>
      </c>
      <c r="H140" s="10" t="s">
        <v>185</v>
      </c>
    </row>
    <row r="141" spans="1:8" ht="13.2">
      <c r="A141">
        <f t="shared" si="2"/>
        <v>140</v>
      </c>
      <c r="B141" s="9">
        <v>140</v>
      </c>
      <c r="C141" t="s">
        <v>232</v>
      </c>
      <c r="D141" s="18" t="s">
        <v>8</v>
      </c>
      <c r="E141" s="19" t="s">
        <v>9</v>
      </c>
      <c r="F141" s="19" t="s">
        <v>9</v>
      </c>
      <c r="G141" t="s">
        <v>10</v>
      </c>
      <c r="H141" s="10" t="s">
        <v>185</v>
      </c>
    </row>
    <row r="142" spans="1:8" ht="13.2">
      <c r="A142">
        <f t="shared" si="2"/>
        <v>141</v>
      </c>
      <c r="B142" s="9">
        <v>141</v>
      </c>
      <c r="C142" t="s">
        <v>234</v>
      </c>
      <c r="G142" t="s">
        <v>19</v>
      </c>
      <c r="H142" s="10" t="s">
        <v>185</v>
      </c>
    </row>
    <row r="143" spans="1:8" ht="13.2">
      <c r="A143">
        <f t="shared" si="2"/>
        <v>142</v>
      </c>
      <c r="B143" s="9">
        <v>142</v>
      </c>
      <c r="C143" t="s">
        <v>235</v>
      </c>
      <c r="G143" t="s">
        <v>19</v>
      </c>
      <c r="H143" s="10" t="s">
        <v>185</v>
      </c>
    </row>
    <row r="144" spans="1:8" ht="13.2">
      <c r="A144">
        <f t="shared" si="2"/>
        <v>143</v>
      </c>
      <c r="B144" s="9">
        <v>143</v>
      </c>
      <c r="C144" t="s">
        <v>236</v>
      </c>
      <c r="G144" t="s">
        <v>19</v>
      </c>
      <c r="H144" s="10" t="s">
        <v>185</v>
      </c>
    </row>
    <row r="145" spans="1:8" ht="13.2">
      <c r="A145">
        <f t="shared" si="2"/>
        <v>144</v>
      </c>
      <c r="B145" s="9">
        <v>144</v>
      </c>
      <c r="C145" t="s">
        <v>237</v>
      </c>
      <c r="G145" t="s">
        <v>19</v>
      </c>
      <c r="H145" s="10" t="s">
        <v>185</v>
      </c>
    </row>
    <row r="146" spans="1:8" ht="13.2">
      <c r="A146">
        <f t="shared" si="2"/>
        <v>145</v>
      </c>
      <c r="B146" s="9">
        <v>145</v>
      </c>
      <c r="C146" t="s">
        <v>238</v>
      </c>
      <c r="D146" s="18" t="s">
        <v>8</v>
      </c>
      <c r="E146" s="19" t="s">
        <v>9</v>
      </c>
      <c r="F146" s="19" t="s">
        <v>9</v>
      </c>
      <c r="G146" t="s">
        <v>10</v>
      </c>
      <c r="H146" s="10" t="s">
        <v>185</v>
      </c>
    </row>
    <row r="147" spans="1:8" ht="13.2">
      <c r="A147">
        <f t="shared" si="2"/>
        <v>146</v>
      </c>
      <c r="B147" s="9">
        <v>146</v>
      </c>
      <c r="C147" t="s">
        <v>239</v>
      </c>
      <c r="D147" s="19" t="s">
        <v>9</v>
      </c>
      <c r="E147" s="19" t="s">
        <v>9</v>
      </c>
      <c r="F147" s="19" t="s">
        <v>9</v>
      </c>
      <c r="G147" t="s">
        <v>10</v>
      </c>
      <c r="H147" s="10" t="s">
        <v>185</v>
      </c>
    </row>
    <row r="148" spans="1:8" ht="13.2">
      <c r="A148">
        <f t="shared" si="2"/>
        <v>147</v>
      </c>
      <c r="B148" s="9">
        <v>147</v>
      </c>
      <c r="C148" t="s">
        <v>240</v>
      </c>
      <c r="D148" s="18" t="s">
        <v>8</v>
      </c>
      <c r="E148" s="18" t="s">
        <v>8</v>
      </c>
      <c r="F148" s="19" t="s">
        <v>9</v>
      </c>
      <c r="G148" t="s">
        <v>10</v>
      </c>
      <c r="H148" s="10" t="s">
        <v>185</v>
      </c>
    </row>
    <row r="149" spans="1:8" ht="13.2">
      <c r="A149">
        <f t="shared" si="2"/>
        <v>148</v>
      </c>
      <c r="B149" s="9">
        <v>148</v>
      </c>
      <c r="C149" t="s">
        <v>241</v>
      </c>
      <c r="G149" t="s">
        <v>19</v>
      </c>
      <c r="H149" s="10" t="s">
        <v>185</v>
      </c>
    </row>
    <row r="150" spans="1:8" ht="13.2">
      <c r="A150">
        <f t="shared" si="2"/>
        <v>149</v>
      </c>
      <c r="B150" s="9">
        <v>149</v>
      </c>
      <c r="C150" t="s">
        <v>242</v>
      </c>
      <c r="G150" t="s">
        <v>19</v>
      </c>
      <c r="H150" s="10" t="s">
        <v>185</v>
      </c>
    </row>
    <row r="151" spans="1:8" ht="13.2">
      <c r="A151">
        <f t="shared" si="2"/>
        <v>150</v>
      </c>
      <c r="B151" s="9">
        <v>150</v>
      </c>
      <c r="C151" t="s">
        <v>243</v>
      </c>
      <c r="D151" s="18" t="s">
        <v>8</v>
      </c>
      <c r="E151" s="18" t="s">
        <v>8</v>
      </c>
      <c r="F151" s="19" t="s">
        <v>9</v>
      </c>
      <c r="G151" t="s">
        <v>10</v>
      </c>
      <c r="H151" s="10" t="s">
        <v>185</v>
      </c>
    </row>
    <row r="152" spans="1:8" ht="13.2">
      <c r="A152">
        <f t="shared" si="2"/>
        <v>151</v>
      </c>
      <c r="B152" s="9">
        <v>151</v>
      </c>
      <c r="C152" t="s">
        <v>245</v>
      </c>
      <c r="D152" s="18" t="s">
        <v>9</v>
      </c>
      <c r="E152" s="18" t="s">
        <v>8</v>
      </c>
      <c r="F152" s="19" t="s">
        <v>9</v>
      </c>
      <c r="G152" t="s">
        <v>10</v>
      </c>
      <c r="H152" s="10" t="s">
        <v>185</v>
      </c>
    </row>
    <row r="153" spans="1:8" ht="13.2">
      <c r="A153">
        <f t="shared" si="2"/>
        <v>152</v>
      </c>
      <c r="B153" s="9">
        <v>152</v>
      </c>
      <c r="C153" t="s">
        <v>246</v>
      </c>
      <c r="D153" s="18" t="s">
        <v>8</v>
      </c>
      <c r="E153" s="19" t="s">
        <v>9</v>
      </c>
      <c r="F153" s="19" t="s">
        <v>9</v>
      </c>
      <c r="G153" t="s">
        <v>10</v>
      </c>
      <c r="H153" s="10" t="s">
        <v>185</v>
      </c>
    </row>
    <row r="154" spans="1:8" ht="13.2">
      <c r="A154">
        <f t="shared" si="2"/>
        <v>153</v>
      </c>
      <c r="B154" s="9">
        <v>153</v>
      </c>
      <c r="C154" t="s">
        <v>248</v>
      </c>
      <c r="D154" s="19" t="s">
        <v>9</v>
      </c>
      <c r="E154" s="18" t="s">
        <v>8</v>
      </c>
      <c r="F154" s="19" t="s">
        <v>9</v>
      </c>
      <c r="G154" t="s">
        <v>10</v>
      </c>
      <c r="H154" s="10" t="s">
        <v>185</v>
      </c>
    </row>
    <row r="155" spans="1:8" ht="13.2">
      <c r="A155">
        <f t="shared" si="2"/>
        <v>154</v>
      </c>
      <c r="B155" s="9">
        <v>154</v>
      </c>
      <c r="C155" t="s">
        <v>250</v>
      </c>
      <c r="D155" s="18" t="s">
        <v>8</v>
      </c>
      <c r="E155" s="18" t="s">
        <v>8</v>
      </c>
      <c r="F155" s="18" t="s">
        <v>8</v>
      </c>
      <c r="G155" t="s">
        <v>10</v>
      </c>
      <c r="H155" s="10" t="s">
        <v>185</v>
      </c>
    </row>
    <row r="156" spans="1:8" ht="13.2">
      <c r="A156">
        <f t="shared" si="2"/>
        <v>155</v>
      </c>
      <c r="B156" s="9">
        <v>155</v>
      </c>
      <c r="C156" t="s">
        <v>251</v>
      </c>
      <c r="D156" s="18" t="s">
        <v>8</v>
      </c>
      <c r="E156" s="18" t="s">
        <v>8</v>
      </c>
      <c r="F156" s="18" t="s">
        <v>8</v>
      </c>
      <c r="G156" t="s">
        <v>10</v>
      </c>
      <c r="H156" s="10" t="s">
        <v>185</v>
      </c>
    </row>
    <row r="157" spans="1:8" ht="13.2">
      <c r="A157">
        <f t="shared" si="2"/>
        <v>156</v>
      </c>
      <c r="B157" s="9">
        <v>156</v>
      </c>
      <c r="C157" t="s">
        <v>253</v>
      </c>
      <c r="G157" t="s">
        <v>19</v>
      </c>
      <c r="H157" s="10" t="s">
        <v>185</v>
      </c>
    </row>
    <row r="158" spans="1:8" ht="13.2">
      <c r="A158">
        <f t="shared" si="2"/>
        <v>157</v>
      </c>
      <c r="B158" s="9">
        <v>157</v>
      </c>
      <c r="C158" t="s">
        <v>254</v>
      </c>
      <c r="D158" s="18" t="s">
        <v>8</v>
      </c>
      <c r="E158" s="18" t="s">
        <v>8</v>
      </c>
      <c r="F158" s="18" t="s">
        <v>8</v>
      </c>
      <c r="G158" t="s">
        <v>10</v>
      </c>
      <c r="H158" s="10" t="s">
        <v>185</v>
      </c>
    </row>
    <row r="159" spans="1:8" ht="13.2">
      <c r="A159">
        <f t="shared" si="2"/>
        <v>158</v>
      </c>
      <c r="B159" s="9">
        <v>158</v>
      </c>
      <c r="C159" t="s">
        <v>255</v>
      </c>
      <c r="D159" s="18" t="s">
        <v>8</v>
      </c>
      <c r="E159" s="19" t="s">
        <v>9</v>
      </c>
      <c r="F159" s="19" t="s">
        <v>9</v>
      </c>
      <c r="G159" t="s">
        <v>10</v>
      </c>
      <c r="H159" s="10" t="s">
        <v>185</v>
      </c>
    </row>
    <row r="160" spans="1:8" ht="13.2">
      <c r="A160">
        <f t="shared" si="2"/>
        <v>159</v>
      </c>
      <c r="B160" s="9">
        <v>159</v>
      </c>
      <c r="C160" t="s">
        <v>256</v>
      </c>
      <c r="D160" s="19"/>
      <c r="E160" s="19"/>
      <c r="F160" s="19"/>
      <c r="G160" t="s">
        <v>10</v>
      </c>
      <c r="H160" s="10" t="s">
        <v>185</v>
      </c>
    </row>
    <row r="161" spans="1:8" ht="13.2">
      <c r="A161">
        <f t="shared" si="2"/>
        <v>160</v>
      </c>
      <c r="B161" s="9">
        <v>160</v>
      </c>
      <c r="C161" t="s">
        <v>258</v>
      </c>
      <c r="D161" s="18" t="s">
        <v>8</v>
      </c>
      <c r="E161" s="18" t="s">
        <v>8</v>
      </c>
      <c r="F161" s="19" t="s">
        <v>9</v>
      </c>
      <c r="G161" t="s">
        <v>19</v>
      </c>
      <c r="H161" s="10" t="s">
        <v>185</v>
      </c>
    </row>
    <row r="162" spans="1:8" ht="13.2">
      <c r="A162">
        <f t="shared" si="2"/>
        <v>161</v>
      </c>
      <c r="B162" s="9">
        <v>161</v>
      </c>
      <c r="C162" t="s">
        <v>259</v>
      </c>
      <c r="D162" s="18"/>
      <c r="E162" s="19"/>
      <c r="F162" s="19"/>
      <c r="G162" t="s">
        <v>19</v>
      </c>
      <c r="H162" s="10" t="s">
        <v>185</v>
      </c>
    </row>
    <row r="163" spans="1:8" ht="13.2">
      <c r="A163">
        <f t="shared" si="2"/>
        <v>162</v>
      </c>
      <c r="B163" s="9">
        <v>162</v>
      </c>
      <c r="C163" t="s">
        <v>260</v>
      </c>
      <c r="D163" s="18" t="s">
        <v>8</v>
      </c>
      <c r="E163" s="19" t="s">
        <v>9</v>
      </c>
      <c r="F163" s="19" t="s">
        <v>9</v>
      </c>
      <c r="G163" t="s">
        <v>19</v>
      </c>
      <c r="H163" s="10" t="s">
        <v>185</v>
      </c>
    </row>
    <row r="164" spans="1:8" ht="13.2">
      <c r="A164">
        <f t="shared" si="2"/>
        <v>163</v>
      </c>
      <c r="B164" s="9">
        <v>163</v>
      </c>
      <c r="C164" t="s">
        <v>261</v>
      </c>
      <c r="D164" s="18"/>
      <c r="E164" s="19"/>
      <c r="F164" s="19"/>
      <c r="G164" t="s">
        <v>19</v>
      </c>
      <c r="H164" s="10" t="s">
        <v>185</v>
      </c>
    </row>
    <row r="165" spans="1:8" ht="13.2">
      <c r="A165">
        <f t="shared" si="2"/>
        <v>164</v>
      </c>
      <c r="B165" s="9">
        <v>164</v>
      </c>
      <c r="C165" t="s">
        <v>262</v>
      </c>
      <c r="G165" t="s">
        <v>19</v>
      </c>
      <c r="H165" s="10" t="s">
        <v>185</v>
      </c>
    </row>
    <row r="166" spans="1:8" ht="13.2">
      <c r="A166">
        <f t="shared" si="2"/>
        <v>165</v>
      </c>
      <c r="B166" s="9">
        <v>165</v>
      </c>
      <c r="C166" t="s">
        <v>263</v>
      </c>
      <c r="G166" t="s">
        <v>19</v>
      </c>
      <c r="H166" s="10" t="s">
        <v>185</v>
      </c>
    </row>
    <row r="167" spans="1:8" ht="13.2">
      <c r="A167">
        <f t="shared" si="2"/>
        <v>166</v>
      </c>
      <c r="B167" s="9">
        <v>166</v>
      </c>
      <c r="C167" t="s">
        <v>264</v>
      </c>
      <c r="G167" t="s">
        <v>19</v>
      </c>
      <c r="H167" s="10" t="s">
        <v>185</v>
      </c>
    </row>
    <row r="168" spans="1:8" ht="13.2">
      <c r="A168">
        <f t="shared" si="2"/>
        <v>167</v>
      </c>
      <c r="B168" s="9">
        <v>167</v>
      </c>
      <c r="C168" t="s">
        <v>265</v>
      </c>
      <c r="G168" t="s">
        <v>19</v>
      </c>
      <c r="H168" s="10" t="s">
        <v>185</v>
      </c>
    </row>
    <row r="169" spans="1:8" ht="13.2">
      <c r="A169">
        <f t="shared" si="2"/>
        <v>168</v>
      </c>
      <c r="B169" s="9">
        <v>168</v>
      </c>
      <c r="C169" t="s">
        <v>266</v>
      </c>
      <c r="D169" s="18" t="s">
        <v>8</v>
      </c>
      <c r="E169" s="18" t="s">
        <v>8</v>
      </c>
      <c r="F169" s="19" t="s">
        <v>9</v>
      </c>
      <c r="G169" t="s">
        <v>10</v>
      </c>
      <c r="H169" s="10" t="s">
        <v>185</v>
      </c>
    </row>
    <row r="170" spans="1:8" ht="13.2">
      <c r="A170">
        <f t="shared" si="2"/>
        <v>169</v>
      </c>
      <c r="B170" s="9">
        <v>169</v>
      </c>
      <c r="C170" t="s">
        <v>268</v>
      </c>
      <c r="D170" s="18" t="s">
        <v>8</v>
      </c>
      <c r="E170" s="18" t="s">
        <v>8</v>
      </c>
      <c r="F170" s="19" t="s">
        <v>9</v>
      </c>
      <c r="G170" t="s">
        <v>10</v>
      </c>
      <c r="H170" s="10" t="s">
        <v>185</v>
      </c>
    </row>
    <row r="171" spans="1:8" ht="13.2">
      <c r="A171">
        <f t="shared" si="2"/>
        <v>170</v>
      </c>
      <c r="B171" s="9">
        <v>170</v>
      </c>
      <c r="C171" t="s">
        <v>269</v>
      </c>
      <c r="D171" s="18"/>
      <c r="E171" s="18"/>
      <c r="F171" s="19"/>
      <c r="G171" t="s">
        <v>19</v>
      </c>
      <c r="H171" s="10" t="s">
        <v>185</v>
      </c>
    </row>
    <row r="172" spans="1:8" ht="13.2">
      <c r="A172">
        <f t="shared" si="2"/>
        <v>171</v>
      </c>
      <c r="B172" s="9">
        <v>171</v>
      </c>
      <c r="C172" t="s">
        <v>270</v>
      </c>
      <c r="D172" s="18" t="s">
        <v>8</v>
      </c>
      <c r="E172" s="18" t="s">
        <v>8</v>
      </c>
      <c r="F172" s="18" t="s">
        <v>8</v>
      </c>
      <c r="G172" t="s">
        <v>10</v>
      </c>
      <c r="H172" s="10" t="s">
        <v>185</v>
      </c>
    </row>
    <row r="173" spans="1:8" ht="13.2">
      <c r="A173">
        <f t="shared" si="2"/>
        <v>172</v>
      </c>
      <c r="B173" s="9">
        <v>172</v>
      </c>
      <c r="C173" t="s">
        <v>271</v>
      </c>
      <c r="D173" s="19" t="s">
        <v>9</v>
      </c>
      <c r="E173" s="18" t="s">
        <v>8</v>
      </c>
      <c r="F173" s="19" t="s">
        <v>9</v>
      </c>
      <c r="G173" t="s">
        <v>10</v>
      </c>
      <c r="H173" s="10" t="s">
        <v>185</v>
      </c>
    </row>
    <row r="174" spans="1:8" ht="13.2">
      <c r="A174">
        <f t="shared" si="2"/>
        <v>173</v>
      </c>
      <c r="B174" s="9">
        <v>173</v>
      </c>
      <c r="C174" t="s">
        <v>272</v>
      </c>
      <c r="D174" s="18" t="s">
        <v>8</v>
      </c>
      <c r="E174" s="18" t="s">
        <v>8</v>
      </c>
      <c r="F174" s="19" t="s">
        <v>9</v>
      </c>
      <c r="G174" t="s">
        <v>10</v>
      </c>
      <c r="H174" s="10" t="s">
        <v>185</v>
      </c>
    </row>
    <row r="175" spans="1:8" ht="13.2">
      <c r="A175">
        <f t="shared" si="2"/>
        <v>174</v>
      </c>
      <c r="B175" s="9">
        <v>174</v>
      </c>
      <c r="C175" t="s">
        <v>274</v>
      </c>
      <c r="G175" t="s">
        <v>19</v>
      </c>
      <c r="H175" s="10" t="s">
        <v>185</v>
      </c>
    </row>
    <row r="176" spans="1:8" ht="13.2">
      <c r="A176">
        <f t="shared" si="2"/>
        <v>175</v>
      </c>
      <c r="B176" s="9">
        <v>175</v>
      </c>
      <c r="C176" t="s">
        <v>275</v>
      </c>
      <c r="D176" s="19" t="s">
        <v>9</v>
      </c>
      <c r="E176" s="19" t="s">
        <v>9</v>
      </c>
      <c r="F176" s="19" t="s">
        <v>9</v>
      </c>
      <c r="G176" t="s">
        <v>10</v>
      </c>
      <c r="H176" s="10" t="s">
        <v>185</v>
      </c>
    </row>
    <row r="177" spans="1:8" ht="13.2">
      <c r="A177">
        <f t="shared" si="2"/>
        <v>176</v>
      </c>
      <c r="B177" s="9">
        <v>176</v>
      </c>
      <c r="C177" t="s">
        <v>276</v>
      </c>
      <c r="D177" s="18" t="s">
        <v>8</v>
      </c>
      <c r="E177" s="18" t="s">
        <v>8</v>
      </c>
      <c r="F177" s="19" t="s">
        <v>9</v>
      </c>
      <c r="G177" t="s">
        <v>10</v>
      </c>
      <c r="H177" s="10" t="s">
        <v>185</v>
      </c>
    </row>
    <row r="178" spans="1:8" ht="13.2">
      <c r="A178">
        <f t="shared" si="2"/>
        <v>177</v>
      </c>
      <c r="B178" s="9">
        <v>177</v>
      </c>
      <c r="C178" t="s">
        <v>278</v>
      </c>
      <c r="D178" s="18" t="s">
        <v>8</v>
      </c>
      <c r="E178" s="18" t="s">
        <v>8</v>
      </c>
      <c r="F178" s="18" t="s">
        <v>8</v>
      </c>
      <c r="G178" t="s">
        <v>10</v>
      </c>
      <c r="H178" s="10" t="s">
        <v>185</v>
      </c>
    </row>
    <row r="179" spans="1:8" ht="13.2">
      <c r="A179">
        <f t="shared" si="2"/>
        <v>178</v>
      </c>
      <c r="B179" s="9">
        <v>178</v>
      </c>
      <c r="C179" t="s">
        <v>280</v>
      </c>
      <c r="D179" s="18" t="s">
        <v>8</v>
      </c>
      <c r="E179" s="19" t="s">
        <v>9</v>
      </c>
      <c r="F179" s="19" t="s">
        <v>9</v>
      </c>
      <c r="G179" t="s">
        <v>10</v>
      </c>
      <c r="H179" s="10" t="s">
        <v>185</v>
      </c>
    </row>
    <row r="180" spans="1:8" ht="13.2">
      <c r="A180">
        <f t="shared" si="2"/>
        <v>179</v>
      </c>
      <c r="B180" s="9">
        <v>179</v>
      </c>
      <c r="C180" t="s">
        <v>282</v>
      </c>
      <c r="D180" s="18" t="s">
        <v>8</v>
      </c>
      <c r="E180" s="18" t="s">
        <v>8</v>
      </c>
      <c r="F180" s="19" t="s">
        <v>9</v>
      </c>
      <c r="G180" t="s">
        <v>19</v>
      </c>
      <c r="H180" s="10" t="s">
        <v>185</v>
      </c>
    </row>
    <row r="181" spans="1:8" ht="13.2">
      <c r="A181">
        <f t="shared" si="2"/>
        <v>180</v>
      </c>
      <c r="B181" s="9">
        <v>180</v>
      </c>
      <c r="C181" t="s">
        <v>283</v>
      </c>
      <c r="D181" s="18" t="s">
        <v>8</v>
      </c>
      <c r="E181" s="18" t="s">
        <v>8</v>
      </c>
      <c r="F181" s="19" t="s">
        <v>9</v>
      </c>
      <c r="G181" t="s">
        <v>10</v>
      </c>
      <c r="H181" s="10" t="s">
        <v>185</v>
      </c>
    </row>
    <row r="182" spans="1:8" ht="13.2">
      <c r="A182">
        <f t="shared" si="2"/>
        <v>181</v>
      </c>
      <c r="B182" s="9">
        <v>181</v>
      </c>
      <c r="C182" t="s">
        <v>285</v>
      </c>
      <c r="G182" t="s">
        <v>10</v>
      </c>
      <c r="H182" s="10" t="s">
        <v>185</v>
      </c>
    </row>
    <row r="183" spans="1:8" ht="13.2">
      <c r="A183">
        <f t="shared" si="2"/>
        <v>182</v>
      </c>
      <c r="B183" s="9">
        <v>182</v>
      </c>
      <c r="C183" t="s">
        <v>286</v>
      </c>
      <c r="G183" t="s">
        <v>19</v>
      </c>
      <c r="H183" s="10" t="s">
        <v>185</v>
      </c>
    </row>
    <row r="184" spans="1:8" ht="13.2">
      <c r="A184">
        <f t="shared" si="2"/>
        <v>183</v>
      </c>
      <c r="B184" s="9">
        <v>183</v>
      </c>
      <c r="C184" t="s">
        <v>287</v>
      </c>
      <c r="D184" s="18" t="s">
        <v>8</v>
      </c>
      <c r="E184" s="18" t="s">
        <v>8</v>
      </c>
      <c r="F184" s="19" t="s">
        <v>9</v>
      </c>
      <c r="G184" t="s">
        <v>10</v>
      </c>
      <c r="H184" s="10" t="s">
        <v>185</v>
      </c>
    </row>
    <row r="185" spans="1:8" ht="13.2">
      <c r="A185">
        <f t="shared" si="2"/>
        <v>184</v>
      </c>
      <c r="B185" s="9">
        <v>184</v>
      </c>
      <c r="C185" t="s">
        <v>289</v>
      </c>
      <c r="D185" s="18" t="s">
        <v>8</v>
      </c>
      <c r="E185" s="18" t="s">
        <v>8</v>
      </c>
      <c r="F185" s="19" t="s">
        <v>9</v>
      </c>
      <c r="G185" t="s">
        <v>10</v>
      </c>
      <c r="H185" s="10" t="s">
        <v>185</v>
      </c>
    </row>
    <row r="186" spans="1:8" ht="13.2">
      <c r="A186">
        <f t="shared" si="2"/>
        <v>185</v>
      </c>
      <c r="B186" s="9">
        <v>185</v>
      </c>
      <c r="C186" t="s">
        <v>291</v>
      </c>
      <c r="D186" s="18" t="s">
        <v>8</v>
      </c>
      <c r="E186" s="19" t="s">
        <v>9</v>
      </c>
      <c r="F186" s="19" t="s">
        <v>9</v>
      </c>
      <c r="G186" t="s">
        <v>10</v>
      </c>
      <c r="H186" s="10" t="s">
        <v>185</v>
      </c>
    </row>
    <row r="187" spans="1:8" ht="13.2">
      <c r="A187">
        <f t="shared" si="2"/>
        <v>186</v>
      </c>
      <c r="B187" s="9">
        <v>186</v>
      </c>
      <c r="C187" t="s">
        <v>293</v>
      </c>
      <c r="D187" s="18" t="s">
        <v>8</v>
      </c>
      <c r="E187" s="19" t="s">
        <v>9</v>
      </c>
      <c r="F187" s="19" t="s">
        <v>9</v>
      </c>
      <c r="G187" t="s">
        <v>10</v>
      </c>
      <c r="H187" s="10" t="s">
        <v>185</v>
      </c>
    </row>
    <row r="188" spans="1:8" ht="13.2">
      <c r="A188">
        <f t="shared" si="2"/>
        <v>187</v>
      </c>
      <c r="B188" s="9">
        <v>187</v>
      </c>
      <c r="C188" t="s">
        <v>294</v>
      </c>
      <c r="G188" t="s">
        <v>19</v>
      </c>
      <c r="H188" s="10" t="s">
        <v>185</v>
      </c>
    </row>
    <row r="189" spans="1:8" ht="13.2">
      <c r="A189">
        <f t="shared" si="2"/>
        <v>188</v>
      </c>
      <c r="B189" s="9">
        <v>188</v>
      </c>
      <c r="C189" t="s">
        <v>295</v>
      </c>
      <c r="D189" s="19" t="s">
        <v>9</v>
      </c>
      <c r="E189" s="18" t="s">
        <v>8</v>
      </c>
      <c r="F189" s="19" t="s">
        <v>9</v>
      </c>
      <c r="G189" t="s">
        <v>10</v>
      </c>
      <c r="H189" s="10" t="s">
        <v>185</v>
      </c>
    </row>
    <row r="190" spans="1:8" ht="13.2">
      <c r="A190">
        <f t="shared" si="2"/>
        <v>189</v>
      </c>
      <c r="B190" s="9">
        <v>189</v>
      </c>
      <c r="C190" t="s">
        <v>296</v>
      </c>
      <c r="G190" t="s">
        <v>19</v>
      </c>
      <c r="H190" s="10" t="s">
        <v>185</v>
      </c>
    </row>
    <row r="191" spans="1:8" ht="13.2">
      <c r="A191">
        <f t="shared" si="2"/>
        <v>190</v>
      </c>
      <c r="B191" s="9">
        <v>190</v>
      </c>
      <c r="C191" t="s">
        <v>297</v>
      </c>
      <c r="G191" t="s">
        <v>10</v>
      </c>
      <c r="H191" s="10" t="s">
        <v>185</v>
      </c>
    </row>
    <row r="192" spans="1:8" ht="13.2">
      <c r="A192">
        <f t="shared" si="2"/>
        <v>191</v>
      </c>
      <c r="B192" s="9">
        <v>191</v>
      </c>
      <c r="C192" t="s">
        <v>298</v>
      </c>
      <c r="D192" s="18" t="s">
        <v>8</v>
      </c>
      <c r="E192" s="18" t="s">
        <v>8</v>
      </c>
      <c r="F192" s="18" t="s">
        <v>8</v>
      </c>
      <c r="G192" t="s">
        <v>10</v>
      </c>
      <c r="H192" s="10" t="s">
        <v>185</v>
      </c>
    </row>
    <row r="193" spans="1:8" ht="13.2">
      <c r="A193">
        <f t="shared" si="2"/>
        <v>192</v>
      </c>
      <c r="B193" s="9">
        <v>192</v>
      </c>
      <c r="C193" t="s">
        <v>299</v>
      </c>
      <c r="D193" s="18" t="s">
        <v>8</v>
      </c>
      <c r="E193" s="18" t="s">
        <v>8</v>
      </c>
      <c r="F193" s="18" t="s">
        <v>8</v>
      </c>
      <c r="G193" t="s">
        <v>10</v>
      </c>
      <c r="H193" s="10" t="s">
        <v>185</v>
      </c>
    </row>
    <row r="194" spans="1:8" ht="13.2">
      <c r="A194">
        <f t="shared" si="2"/>
        <v>193</v>
      </c>
      <c r="B194" s="9">
        <v>193</v>
      </c>
      <c r="C194" t="s">
        <v>301</v>
      </c>
      <c r="D194" s="18"/>
      <c r="E194" s="18"/>
      <c r="F194" s="18"/>
      <c r="G194" t="s">
        <v>19</v>
      </c>
      <c r="H194" s="10" t="s">
        <v>185</v>
      </c>
    </row>
    <row r="195" spans="1:8" ht="13.2">
      <c r="A195">
        <f t="shared" si="2"/>
        <v>194</v>
      </c>
      <c r="B195" s="9">
        <v>194</v>
      </c>
      <c r="C195" t="s">
        <v>302</v>
      </c>
      <c r="D195" s="19" t="s">
        <v>9</v>
      </c>
      <c r="E195" s="18" t="s">
        <v>8</v>
      </c>
      <c r="F195" s="19" t="s">
        <v>9</v>
      </c>
      <c r="G195" t="s">
        <v>10</v>
      </c>
      <c r="H195" s="10" t="s">
        <v>185</v>
      </c>
    </row>
    <row r="196" spans="1:8" ht="13.2">
      <c r="A196">
        <f t="shared" ref="A196:A259" si="3">A195+1</f>
        <v>195</v>
      </c>
      <c r="B196" s="9">
        <v>195</v>
      </c>
      <c r="C196" t="s">
        <v>303</v>
      </c>
      <c r="G196" t="s">
        <v>19</v>
      </c>
      <c r="H196" s="10" t="s">
        <v>185</v>
      </c>
    </row>
    <row r="197" spans="1:8" ht="13.2">
      <c r="A197">
        <f t="shared" si="3"/>
        <v>196</v>
      </c>
      <c r="B197" s="9">
        <v>196</v>
      </c>
      <c r="C197" t="s">
        <v>21</v>
      </c>
      <c r="D197" s="18" t="s">
        <v>8</v>
      </c>
      <c r="E197" s="18" t="s">
        <v>8</v>
      </c>
      <c r="F197" s="19" t="s">
        <v>9</v>
      </c>
      <c r="G197" t="s">
        <v>10</v>
      </c>
      <c r="H197" s="10" t="s">
        <v>185</v>
      </c>
    </row>
    <row r="198" spans="1:8" ht="13.2">
      <c r="A198">
        <f t="shared" si="3"/>
        <v>197</v>
      </c>
      <c r="B198" s="9">
        <v>197</v>
      </c>
      <c r="C198" t="s">
        <v>304</v>
      </c>
      <c r="G198" t="s">
        <v>19</v>
      </c>
      <c r="H198" s="10" t="s">
        <v>185</v>
      </c>
    </row>
    <row r="199" spans="1:8" ht="13.2">
      <c r="A199">
        <f t="shared" si="3"/>
        <v>198</v>
      </c>
      <c r="B199" s="9">
        <v>198</v>
      </c>
      <c r="C199" t="s">
        <v>305</v>
      </c>
      <c r="G199" t="s">
        <v>19</v>
      </c>
      <c r="H199" s="10" t="s">
        <v>185</v>
      </c>
    </row>
    <row r="200" spans="1:8" ht="13.2">
      <c r="A200">
        <f t="shared" si="3"/>
        <v>199</v>
      </c>
      <c r="B200" s="9">
        <v>199</v>
      </c>
      <c r="C200" t="s">
        <v>306</v>
      </c>
      <c r="D200" s="19" t="s">
        <v>9</v>
      </c>
      <c r="E200" s="19" t="s">
        <v>9</v>
      </c>
      <c r="F200" s="19" t="s">
        <v>9</v>
      </c>
      <c r="G200" t="s">
        <v>10</v>
      </c>
      <c r="H200" s="10" t="s">
        <v>185</v>
      </c>
    </row>
    <row r="201" spans="1:8" ht="13.2">
      <c r="A201">
        <f t="shared" si="3"/>
        <v>200</v>
      </c>
      <c r="B201" s="9">
        <v>200</v>
      </c>
      <c r="C201" t="s">
        <v>308</v>
      </c>
      <c r="D201" s="19" t="s">
        <v>9</v>
      </c>
      <c r="E201" s="19" t="s">
        <v>9</v>
      </c>
      <c r="F201" s="19" t="s">
        <v>9</v>
      </c>
      <c r="G201" t="s">
        <v>10</v>
      </c>
      <c r="H201" s="10" t="s">
        <v>185</v>
      </c>
    </row>
    <row r="202" spans="1:8" ht="13.2">
      <c r="A202">
        <f t="shared" si="3"/>
        <v>201</v>
      </c>
      <c r="B202" s="9">
        <v>201</v>
      </c>
      <c r="C202" t="s">
        <v>309</v>
      </c>
      <c r="D202" s="19" t="s">
        <v>9</v>
      </c>
      <c r="E202" s="18" t="s">
        <v>8</v>
      </c>
      <c r="F202" s="19" t="s">
        <v>9</v>
      </c>
      <c r="G202" t="s">
        <v>10</v>
      </c>
      <c r="H202" s="10" t="s">
        <v>185</v>
      </c>
    </row>
    <row r="203" spans="1:8" ht="13.2">
      <c r="A203">
        <f t="shared" si="3"/>
        <v>202</v>
      </c>
      <c r="B203" s="11">
        <v>202</v>
      </c>
      <c r="C203" t="s">
        <v>310</v>
      </c>
      <c r="D203" s="23" t="s">
        <v>9</v>
      </c>
      <c r="E203" s="23" t="s">
        <v>8</v>
      </c>
      <c r="F203" s="23" t="s">
        <v>8</v>
      </c>
      <c r="G203" t="s">
        <v>10</v>
      </c>
      <c r="H203" s="10" t="s">
        <v>185</v>
      </c>
    </row>
    <row r="204" spans="1:8" ht="13.2">
      <c r="A204">
        <f t="shared" si="3"/>
        <v>203</v>
      </c>
      <c r="B204" s="11">
        <v>203</v>
      </c>
      <c r="C204" t="s">
        <v>312</v>
      </c>
      <c r="D204" s="23" t="s">
        <v>8</v>
      </c>
      <c r="E204" s="23" t="s">
        <v>9</v>
      </c>
      <c r="F204" s="23" t="s">
        <v>8</v>
      </c>
      <c r="G204" t="s">
        <v>10</v>
      </c>
      <c r="H204" s="10" t="s">
        <v>185</v>
      </c>
    </row>
    <row r="205" spans="1:8" ht="13.2">
      <c r="A205">
        <f t="shared" si="3"/>
        <v>204</v>
      </c>
      <c r="B205" s="11">
        <v>204</v>
      </c>
      <c r="C205" t="s">
        <v>314</v>
      </c>
      <c r="D205" s="23" t="s">
        <v>8</v>
      </c>
      <c r="E205" s="23" t="s">
        <v>8</v>
      </c>
      <c r="F205" s="23" t="s">
        <v>8</v>
      </c>
      <c r="G205" t="s">
        <v>10</v>
      </c>
      <c r="H205" s="10" t="s">
        <v>185</v>
      </c>
    </row>
    <row r="206" spans="1:8" ht="13.2">
      <c r="A206">
        <f t="shared" si="3"/>
        <v>205</v>
      </c>
      <c r="B206" s="11">
        <v>205</v>
      </c>
      <c r="C206" t="s">
        <v>316</v>
      </c>
      <c r="D206" s="23" t="s">
        <v>9</v>
      </c>
      <c r="E206" s="23" t="s">
        <v>9</v>
      </c>
      <c r="F206" s="23" t="s">
        <v>8</v>
      </c>
      <c r="G206" t="s">
        <v>10</v>
      </c>
      <c r="H206" s="10" t="s">
        <v>185</v>
      </c>
    </row>
    <row r="207" spans="1:8" ht="13.2">
      <c r="A207">
        <f t="shared" si="3"/>
        <v>206</v>
      </c>
      <c r="B207" s="11">
        <v>206</v>
      </c>
      <c r="C207" t="s">
        <v>318</v>
      </c>
      <c r="D207" s="23" t="s">
        <v>8</v>
      </c>
      <c r="E207" s="23" t="s">
        <v>9</v>
      </c>
      <c r="F207" s="23" t="s">
        <v>8</v>
      </c>
      <c r="G207" t="s">
        <v>10</v>
      </c>
      <c r="H207" s="10" t="s">
        <v>185</v>
      </c>
    </row>
    <row r="208" spans="1:8" ht="13.2">
      <c r="A208">
        <f t="shared" si="3"/>
        <v>207</v>
      </c>
      <c r="B208" s="11">
        <v>207</v>
      </c>
      <c r="C208" t="s">
        <v>320</v>
      </c>
      <c r="D208" s="23" t="s">
        <v>9</v>
      </c>
      <c r="E208" s="23" t="s">
        <v>9</v>
      </c>
      <c r="F208" s="23" t="s">
        <v>8</v>
      </c>
      <c r="G208" t="s">
        <v>10</v>
      </c>
      <c r="H208" s="10" t="s">
        <v>185</v>
      </c>
    </row>
    <row r="209" spans="1:8" ht="13.2">
      <c r="A209">
        <f t="shared" si="3"/>
        <v>208</v>
      </c>
      <c r="B209" s="11">
        <v>208</v>
      </c>
      <c r="C209" t="s">
        <v>322</v>
      </c>
      <c r="D209" s="23" t="s">
        <v>9</v>
      </c>
      <c r="E209" s="23" t="s">
        <v>9</v>
      </c>
      <c r="F209" s="23" t="s">
        <v>8</v>
      </c>
      <c r="G209" t="s">
        <v>10</v>
      </c>
      <c r="H209" s="10" t="s">
        <v>185</v>
      </c>
    </row>
    <row r="210" spans="1:8" ht="13.2">
      <c r="A210">
        <f t="shared" si="3"/>
        <v>209</v>
      </c>
      <c r="B210" s="11">
        <v>209</v>
      </c>
      <c r="C210" t="s">
        <v>324</v>
      </c>
      <c r="D210" s="23"/>
      <c r="E210" s="23"/>
      <c r="F210" s="23"/>
      <c r="G210" t="s">
        <v>19</v>
      </c>
      <c r="H210" s="10" t="s">
        <v>185</v>
      </c>
    </row>
    <row r="211" spans="1:8" ht="13.2">
      <c r="A211">
        <f t="shared" si="3"/>
        <v>210</v>
      </c>
      <c r="B211" s="11">
        <v>210</v>
      </c>
      <c r="C211" t="s">
        <v>325</v>
      </c>
      <c r="D211" s="23" t="s">
        <v>9</v>
      </c>
      <c r="E211" s="23" t="s">
        <v>9</v>
      </c>
      <c r="F211" s="23" t="s">
        <v>8</v>
      </c>
      <c r="G211" t="s">
        <v>10</v>
      </c>
      <c r="H211" s="10" t="s">
        <v>185</v>
      </c>
    </row>
    <row r="212" spans="1:8" ht="13.2">
      <c r="A212">
        <f t="shared" si="3"/>
        <v>211</v>
      </c>
      <c r="B212" s="11">
        <v>211</v>
      </c>
      <c r="C212" t="s">
        <v>327</v>
      </c>
      <c r="D212" s="23" t="s">
        <v>9</v>
      </c>
      <c r="E212" s="23" t="s">
        <v>9</v>
      </c>
      <c r="F212" s="23" t="s">
        <v>8</v>
      </c>
      <c r="G212" t="s">
        <v>10</v>
      </c>
      <c r="H212" s="10" t="s">
        <v>185</v>
      </c>
    </row>
    <row r="213" spans="1:8" ht="13.2">
      <c r="A213">
        <f t="shared" si="3"/>
        <v>212</v>
      </c>
      <c r="B213" s="11">
        <v>212</v>
      </c>
      <c r="C213" t="s">
        <v>329</v>
      </c>
      <c r="D213" s="23" t="s">
        <v>9</v>
      </c>
      <c r="E213" s="23" t="s">
        <v>8</v>
      </c>
      <c r="F213" s="23" t="s">
        <v>8</v>
      </c>
      <c r="G213" t="s">
        <v>10</v>
      </c>
      <c r="H213" s="10" t="s">
        <v>185</v>
      </c>
    </row>
    <row r="214" spans="1:8" ht="13.2">
      <c r="A214">
        <f t="shared" si="3"/>
        <v>213</v>
      </c>
      <c r="B214" s="11">
        <v>213</v>
      </c>
      <c r="C214" t="s">
        <v>331</v>
      </c>
      <c r="D214" s="23" t="s">
        <v>9</v>
      </c>
      <c r="E214" s="23"/>
      <c r="F214" s="23"/>
      <c r="G214" t="s">
        <v>19</v>
      </c>
      <c r="H214" s="10" t="s">
        <v>185</v>
      </c>
    </row>
    <row r="215" spans="1:8" ht="13.2">
      <c r="A215">
        <f t="shared" si="3"/>
        <v>214</v>
      </c>
      <c r="B215" s="11">
        <v>214</v>
      </c>
      <c r="C215" t="s">
        <v>332</v>
      </c>
      <c r="D215" s="23" t="s">
        <v>9</v>
      </c>
      <c r="E215" s="23" t="s">
        <v>9</v>
      </c>
      <c r="F215" s="23" t="s">
        <v>8</v>
      </c>
      <c r="G215" t="s">
        <v>10</v>
      </c>
      <c r="H215" s="10" t="s">
        <v>185</v>
      </c>
    </row>
    <row r="216" spans="1:8" ht="13.2">
      <c r="A216">
        <f t="shared" si="3"/>
        <v>215</v>
      </c>
      <c r="B216" s="11">
        <v>215</v>
      </c>
      <c r="C216" t="s">
        <v>334</v>
      </c>
      <c r="D216" s="23" t="s">
        <v>8</v>
      </c>
      <c r="E216" s="23" t="s">
        <v>9</v>
      </c>
      <c r="F216" s="23" t="s">
        <v>8</v>
      </c>
      <c r="G216" t="s">
        <v>10</v>
      </c>
      <c r="H216" s="10" t="s">
        <v>185</v>
      </c>
    </row>
    <row r="217" spans="1:8" ht="13.2">
      <c r="A217">
        <f t="shared" si="3"/>
        <v>216</v>
      </c>
      <c r="B217" s="11">
        <v>216</v>
      </c>
      <c r="C217" t="s">
        <v>336</v>
      </c>
      <c r="D217" s="23"/>
      <c r="E217" s="23"/>
      <c r="F217" s="23"/>
      <c r="G217" t="s">
        <v>19</v>
      </c>
      <c r="H217" s="10" t="s">
        <v>185</v>
      </c>
    </row>
    <row r="218" spans="1:8" ht="13.2">
      <c r="A218">
        <f t="shared" si="3"/>
        <v>217</v>
      </c>
      <c r="B218" s="11">
        <v>217</v>
      </c>
      <c r="C218" t="s">
        <v>337</v>
      </c>
      <c r="D218" s="23" t="s">
        <v>8</v>
      </c>
      <c r="E218" s="23" t="s">
        <v>8</v>
      </c>
      <c r="F218" s="23" t="s">
        <v>8</v>
      </c>
      <c r="G218" t="s">
        <v>10</v>
      </c>
      <c r="H218" s="10" t="s">
        <v>185</v>
      </c>
    </row>
    <row r="219" spans="1:8" ht="13.2">
      <c r="A219">
        <f t="shared" si="3"/>
        <v>218</v>
      </c>
      <c r="B219" s="11">
        <v>218</v>
      </c>
      <c r="C219" t="s">
        <v>339</v>
      </c>
      <c r="D219" s="23" t="s">
        <v>8</v>
      </c>
      <c r="E219" s="23" t="s">
        <v>9</v>
      </c>
      <c r="F219" s="23" t="s">
        <v>9</v>
      </c>
      <c r="G219" t="s">
        <v>10</v>
      </c>
      <c r="H219" s="10" t="s">
        <v>185</v>
      </c>
    </row>
    <row r="220" spans="1:8" ht="13.2">
      <c r="A220">
        <f t="shared" si="3"/>
        <v>219</v>
      </c>
      <c r="B220" s="11">
        <v>219</v>
      </c>
      <c r="C220" t="s">
        <v>341</v>
      </c>
      <c r="D220" s="23" t="s">
        <v>9</v>
      </c>
      <c r="E220" s="23" t="s">
        <v>9</v>
      </c>
      <c r="F220" s="23" t="s">
        <v>9</v>
      </c>
      <c r="G220" t="s">
        <v>10</v>
      </c>
      <c r="H220" s="10" t="s">
        <v>185</v>
      </c>
    </row>
    <row r="221" spans="1:8" ht="13.2">
      <c r="A221">
        <f t="shared" si="3"/>
        <v>220</v>
      </c>
      <c r="B221" s="11">
        <v>220</v>
      </c>
      <c r="C221" t="s">
        <v>342</v>
      </c>
      <c r="D221" s="23" t="s">
        <v>9</v>
      </c>
      <c r="E221" s="23" t="s">
        <v>9</v>
      </c>
      <c r="F221" s="23" t="s">
        <v>9</v>
      </c>
      <c r="G221" t="s">
        <v>10</v>
      </c>
      <c r="H221" s="10" t="s">
        <v>185</v>
      </c>
    </row>
    <row r="222" spans="1:8" ht="13.2">
      <c r="A222">
        <f t="shared" si="3"/>
        <v>221</v>
      </c>
      <c r="B222" s="11">
        <v>221</v>
      </c>
      <c r="C222" t="s">
        <v>344</v>
      </c>
      <c r="D222" s="23" t="s">
        <v>9</v>
      </c>
      <c r="E222" s="23" t="s">
        <v>8</v>
      </c>
      <c r="F222" s="23" t="s">
        <v>9</v>
      </c>
      <c r="G222" t="s">
        <v>10</v>
      </c>
      <c r="H222" s="10" t="s">
        <v>185</v>
      </c>
    </row>
    <row r="223" spans="1:8" ht="13.2">
      <c r="A223">
        <f t="shared" si="3"/>
        <v>222</v>
      </c>
      <c r="B223" s="11">
        <v>222</v>
      </c>
      <c r="C223" t="s">
        <v>346</v>
      </c>
      <c r="D223" s="23" t="s">
        <v>9</v>
      </c>
      <c r="E223" s="23" t="s">
        <v>9</v>
      </c>
      <c r="F223" s="23" t="s">
        <v>9</v>
      </c>
      <c r="G223" t="s">
        <v>10</v>
      </c>
      <c r="H223" s="10" t="s">
        <v>185</v>
      </c>
    </row>
    <row r="224" spans="1:8" ht="13.2">
      <c r="A224">
        <f t="shared" si="3"/>
        <v>223</v>
      </c>
      <c r="B224" s="11">
        <v>223</v>
      </c>
      <c r="C224" t="s">
        <v>348</v>
      </c>
      <c r="D224" s="23"/>
      <c r="E224" s="23"/>
      <c r="F224" s="23"/>
      <c r="G224" t="s">
        <v>19</v>
      </c>
      <c r="H224" s="10" t="s">
        <v>185</v>
      </c>
    </row>
    <row r="225" spans="1:8" ht="13.2">
      <c r="A225">
        <f t="shared" si="3"/>
        <v>224</v>
      </c>
      <c r="B225" s="11">
        <v>224</v>
      </c>
      <c r="C225" t="s">
        <v>349</v>
      </c>
      <c r="D225" s="23" t="s">
        <v>8</v>
      </c>
      <c r="E225" s="23" t="s">
        <v>9</v>
      </c>
      <c r="F225" s="23" t="s">
        <v>9</v>
      </c>
      <c r="G225" t="s">
        <v>10</v>
      </c>
      <c r="H225" s="10" t="s">
        <v>185</v>
      </c>
    </row>
    <row r="226" spans="1:8" ht="13.2">
      <c r="A226">
        <f t="shared" si="3"/>
        <v>225</v>
      </c>
      <c r="B226" s="11">
        <v>225</v>
      </c>
      <c r="C226" t="s">
        <v>351</v>
      </c>
      <c r="D226" s="23" t="s">
        <v>9</v>
      </c>
      <c r="E226" s="23" t="s">
        <v>8</v>
      </c>
      <c r="F226" s="23" t="s">
        <v>9</v>
      </c>
      <c r="G226" t="s">
        <v>10</v>
      </c>
      <c r="H226" s="10" t="s">
        <v>185</v>
      </c>
    </row>
    <row r="227" spans="1:8" ht="13.2">
      <c r="A227">
        <f t="shared" si="3"/>
        <v>226</v>
      </c>
      <c r="B227" s="11">
        <v>226</v>
      </c>
      <c r="C227" t="s">
        <v>353</v>
      </c>
      <c r="D227" s="23" t="s">
        <v>8</v>
      </c>
      <c r="E227" s="23" t="s">
        <v>8</v>
      </c>
      <c r="F227" s="23" t="s">
        <v>9</v>
      </c>
      <c r="G227" t="s">
        <v>10</v>
      </c>
      <c r="H227" s="10" t="s">
        <v>185</v>
      </c>
    </row>
    <row r="228" spans="1:8" ht="13.2">
      <c r="A228">
        <f t="shared" si="3"/>
        <v>227</v>
      </c>
      <c r="B228" s="11">
        <v>227</v>
      </c>
      <c r="C228" t="s">
        <v>354</v>
      </c>
      <c r="D228" s="23"/>
      <c r="E228" s="23"/>
      <c r="F228" s="23"/>
      <c r="G228" t="s">
        <v>19</v>
      </c>
      <c r="H228" s="10" t="s">
        <v>185</v>
      </c>
    </row>
    <row r="229" spans="1:8" ht="13.2">
      <c r="A229">
        <f t="shared" si="3"/>
        <v>228</v>
      </c>
      <c r="B229" s="11">
        <v>228</v>
      </c>
      <c r="C229" t="s">
        <v>355</v>
      </c>
      <c r="D229" s="23" t="s">
        <v>8</v>
      </c>
      <c r="E229" s="23" t="s">
        <v>9</v>
      </c>
      <c r="F229" s="23" t="s">
        <v>9</v>
      </c>
      <c r="G229" t="s">
        <v>10</v>
      </c>
      <c r="H229" s="10" t="s">
        <v>185</v>
      </c>
    </row>
    <row r="230" spans="1:8" ht="13.2">
      <c r="A230">
        <f t="shared" si="3"/>
        <v>229</v>
      </c>
      <c r="B230" s="11">
        <v>229</v>
      </c>
      <c r="C230" t="s">
        <v>357</v>
      </c>
      <c r="D230" s="23" t="s">
        <v>8</v>
      </c>
      <c r="E230" s="23" t="s">
        <v>9</v>
      </c>
      <c r="F230" s="23" t="s">
        <v>9</v>
      </c>
      <c r="G230" t="s">
        <v>10</v>
      </c>
      <c r="H230" s="10" t="s">
        <v>185</v>
      </c>
    </row>
    <row r="231" spans="1:8" ht="13.2">
      <c r="A231">
        <f t="shared" si="3"/>
        <v>230</v>
      </c>
      <c r="B231" s="11">
        <v>230</v>
      </c>
      <c r="C231" t="s">
        <v>359</v>
      </c>
      <c r="D231" s="23"/>
      <c r="E231" s="23"/>
      <c r="F231" s="23"/>
      <c r="G231" t="s">
        <v>19</v>
      </c>
      <c r="H231" s="10" t="s">
        <v>185</v>
      </c>
    </row>
    <row r="232" spans="1:8" ht="13.2">
      <c r="A232">
        <f t="shared" si="3"/>
        <v>231</v>
      </c>
      <c r="B232" s="11">
        <v>231</v>
      </c>
      <c r="C232" t="s">
        <v>360</v>
      </c>
      <c r="D232" s="23" t="s">
        <v>9</v>
      </c>
      <c r="E232" s="23" t="s">
        <v>9</v>
      </c>
      <c r="F232" s="23" t="s">
        <v>9</v>
      </c>
      <c r="G232" t="s">
        <v>10</v>
      </c>
      <c r="H232" s="10" t="s">
        <v>185</v>
      </c>
    </row>
    <row r="233" spans="1:8" ht="13.2">
      <c r="A233">
        <f t="shared" si="3"/>
        <v>232</v>
      </c>
      <c r="B233" s="11">
        <v>232</v>
      </c>
      <c r="C233" t="s">
        <v>362</v>
      </c>
      <c r="D233" s="23"/>
      <c r="E233" s="23"/>
      <c r="F233" s="23"/>
      <c r="G233" t="s">
        <v>19</v>
      </c>
      <c r="H233" s="10" t="s">
        <v>185</v>
      </c>
    </row>
    <row r="234" spans="1:8" ht="15.75" customHeight="1">
      <c r="A234">
        <f t="shared" si="3"/>
        <v>233</v>
      </c>
      <c r="B234" s="11">
        <v>233</v>
      </c>
      <c r="C234" t="s">
        <v>363</v>
      </c>
      <c r="D234" s="23" t="s">
        <v>8</v>
      </c>
      <c r="E234" s="23" t="s">
        <v>8</v>
      </c>
      <c r="F234" s="23" t="s">
        <v>8</v>
      </c>
      <c r="G234" t="s">
        <v>10</v>
      </c>
      <c r="H234" s="10" t="s">
        <v>185</v>
      </c>
    </row>
    <row r="235" spans="1:8" ht="15.75" customHeight="1">
      <c r="A235">
        <f t="shared" si="3"/>
        <v>234</v>
      </c>
      <c r="B235" s="11">
        <v>234</v>
      </c>
      <c r="C235" t="s">
        <v>365</v>
      </c>
      <c r="D235" s="23" t="s">
        <v>8</v>
      </c>
      <c r="E235" s="23" t="s">
        <v>8</v>
      </c>
      <c r="F235" s="23" t="s">
        <v>8</v>
      </c>
      <c r="G235" t="s">
        <v>10</v>
      </c>
      <c r="H235" s="10" t="s">
        <v>185</v>
      </c>
    </row>
    <row r="236" spans="1:8" ht="15.75" customHeight="1">
      <c r="A236">
        <f t="shared" si="3"/>
        <v>235</v>
      </c>
      <c r="B236" s="11">
        <v>235</v>
      </c>
      <c r="C236" t="s">
        <v>367</v>
      </c>
      <c r="D236" s="23" t="s">
        <v>8</v>
      </c>
      <c r="E236" s="23" t="s">
        <v>9</v>
      </c>
      <c r="F236" s="23" t="s">
        <v>9</v>
      </c>
      <c r="G236" t="s">
        <v>10</v>
      </c>
      <c r="H236" s="10" t="s">
        <v>185</v>
      </c>
    </row>
    <row r="237" spans="1:8" ht="13.2">
      <c r="A237">
        <f t="shared" si="3"/>
        <v>236</v>
      </c>
      <c r="B237" s="11">
        <v>236</v>
      </c>
      <c r="C237" t="s">
        <v>369</v>
      </c>
      <c r="D237" s="23"/>
      <c r="E237" s="23"/>
      <c r="F237" s="23"/>
      <c r="G237" s="15" t="s">
        <v>19</v>
      </c>
      <c r="H237" s="10" t="s">
        <v>185</v>
      </c>
    </row>
    <row r="238" spans="1:8" ht="13.2">
      <c r="A238">
        <f t="shared" si="3"/>
        <v>237</v>
      </c>
      <c r="B238" s="11">
        <v>237</v>
      </c>
      <c r="C238" t="s">
        <v>370</v>
      </c>
      <c r="D238" s="23" t="s">
        <v>9</v>
      </c>
      <c r="E238" s="23" t="s">
        <v>8</v>
      </c>
      <c r="F238" s="23" t="s">
        <v>9</v>
      </c>
      <c r="G238" t="s">
        <v>10</v>
      </c>
      <c r="H238" s="10" t="s">
        <v>185</v>
      </c>
    </row>
    <row r="239" spans="1:8" ht="13.2">
      <c r="A239">
        <f t="shared" si="3"/>
        <v>238</v>
      </c>
      <c r="B239" s="11">
        <v>238</v>
      </c>
      <c r="C239" t="s">
        <v>372</v>
      </c>
      <c r="G239" t="s">
        <v>19</v>
      </c>
      <c r="H239" s="10" t="s">
        <v>185</v>
      </c>
    </row>
    <row r="240" spans="1:8" ht="13.2">
      <c r="A240">
        <f t="shared" si="3"/>
        <v>239</v>
      </c>
      <c r="B240" s="11">
        <v>239</v>
      </c>
      <c r="C240" t="s">
        <v>373</v>
      </c>
      <c r="G240" t="s">
        <v>19</v>
      </c>
      <c r="H240" s="10" t="s">
        <v>185</v>
      </c>
    </row>
    <row r="241" spans="1:8" ht="13.2">
      <c r="A241">
        <f t="shared" si="3"/>
        <v>240</v>
      </c>
      <c r="B241" s="11">
        <v>240</v>
      </c>
      <c r="C241" t="s">
        <v>374</v>
      </c>
      <c r="D241" s="23" t="s">
        <v>8</v>
      </c>
      <c r="E241" s="23" t="s">
        <v>9</v>
      </c>
      <c r="F241" s="23" t="s">
        <v>9</v>
      </c>
      <c r="G241" t="s">
        <v>10</v>
      </c>
      <c r="H241" s="10" t="s">
        <v>185</v>
      </c>
    </row>
    <row r="242" spans="1:8" ht="13.2">
      <c r="A242">
        <f t="shared" si="3"/>
        <v>241</v>
      </c>
      <c r="B242" s="11">
        <v>241</v>
      </c>
      <c r="C242" t="s">
        <v>376</v>
      </c>
      <c r="D242" s="23" t="s">
        <v>9</v>
      </c>
      <c r="E242" s="23" t="s">
        <v>8</v>
      </c>
      <c r="F242" s="23" t="s">
        <v>8</v>
      </c>
      <c r="G242" t="s">
        <v>10</v>
      </c>
      <c r="H242" s="10" t="s">
        <v>185</v>
      </c>
    </row>
    <row r="243" spans="1:8" ht="13.2">
      <c r="A243">
        <f t="shared" si="3"/>
        <v>242</v>
      </c>
      <c r="B243" s="11">
        <v>242</v>
      </c>
      <c r="C243" t="s">
        <v>378</v>
      </c>
      <c r="G243" t="s">
        <v>19</v>
      </c>
      <c r="H243" s="10" t="s">
        <v>185</v>
      </c>
    </row>
    <row r="244" spans="1:8" ht="13.2">
      <c r="A244">
        <f t="shared" si="3"/>
        <v>243</v>
      </c>
      <c r="B244" s="11">
        <v>243</v>
      </c>
      <c r="C244" t="s">
        <v>379</v>
      </c>
      <c r="D244" s="23" t="s">
        <v>8</v>
      </c>
      <c r="E244" s="23" t="s">
        <v>8</v>
      </c>
      <c r="F244" s="23" t="s">
        <v>8</v>
      </c>
      <c r="G244" t="s">
        <v>10</v>
      </c>
      <c r="H244" s="10" t="s">
        <v>185</v>
      </c>
    </row>
    <row r="245" spans="1:8" ht="13.2">
      <c r="A245">
        <f t="shared" si="3"/>
        <v>244</v>
      </c>
      <c r="B245" s="11">
        <v>244</v>
      </c>
      <c r="C245" t="s">
        <v>381</v>
      </c>
      <c r="D245" s="23" t="s">
        <v>8</v>
      </c>
      <c r="E245" s="23" t="s">
        <v>9</v>
      </c>
      <c r="F245" s="23" t="s">
        <v>8</v>
      </c>
      <c r="G245" t="s">
        <v>10</v>
      </c>
      <c r="H245" s="10" t="s">
        <v>185</v>
      </c>
    </row>
    <row r="246" spans="1:8" ht="13.2">
      <c r="A246">
        <f t="shared" si="3"/>
        <v>245</v>
      </c>
      <c r="B246" s="11">
        <v>245</v>
      </c>
      <c r="C246" t="s">
        <v>383</v>
      </c>
      <c r="G246" t="s">
        <v>19</v>
      </c>
      <c r="H246" s="10" t="s">
        <v>185</v>
      </c>
    </row>
    <row r="247" spans="1:8" ht="13.2">
      <c r="A247">
        <f t="shared" si="3"/>
        <v>246</v>
      </c>
      <c r="B247" s="11">
        <v>246</v>
      </c>
      <c r="C247" t="s">
        <v>384</v>
      </c>
      <c r="D247" s="23" t="s">
        <v>8</v>
      </c>
      <c r="E247" s="23" t="s">
        <v>8</v>
      </c>
      <c r="F247" s="23" t="s">
        <v>9</v>
      </c>
      <c r="G247" t="s">
        <v>10</v>
      </c>
      <c r="H247" s="10" t="s">
        <v>185</v>
      </c>
    </row>
    <row r="248" spans="1:8" ht="13.2">
      <c r="A248">
        <f t="shared" si="3"/>
        <v>247</v>
      </c>
      <c r="B248" s="11">
        <v>247</v>
      </c>
      <c r="C248" t="s">
        <v>386</v>
      </c>
      <c r="G248" s="15" t="s">
        <v>19</v>
      </c>
      <c r="H248" s="10" t="s">
        <v>185</v>
      </c>
    </row>
    <row r="249" spans="1:8" ht="13.2">
      <c r="A249">
        <f t="shared" si="3"/>
        <v>248</v>
      </c>
      <c r="B249" s="11">
        <v>248</v>
      </c>
      <c r="C249" t="s">
        <v>387</v>
      </c>
      <c r="D249" s="23" t="s">
        <v>8</v>
      </c>
      <c r="E249" s="23" t="s">
        <v>8</v>
      </c>
      <c r="F249" s="23" t="s">
        <v>9</v>
      </c>
      <c r="G249" t="s">
        <v>10</v>
      </c>
      <c r="H249" s="10" t="s">
        <v>185</v>
      </c>
    </row>
    <row r="250" spans="1:8" ht="13.2">
      <c r="A250">
        <f t="shared" si="3"/>
        <v>249</v>
      </c>
      <c r="B250" s="11">
        <v>249</v>
      </c>
      <c r="C250" t="s">
        <v>389</v>
      </c>
      <c r="D250" s="23" t="s">
        <v>8</v>
      </c>
      <c r="E250" s="23" t="s">
        <v>9</v>
      </c>
      <c r="F250" s="23" t="s">
        <v>9</v>
      </c>
      <c r="G250" t="s">
        <v>10</v>
      </c>
      <c r="H250" s="10" t="s">
        <v>185</v>
      </c>
    </row>
    <row r="251" spans="1:8" ht="13.2">
      <c r="A251">
        <f t="shared" si="3"/>
        <v>250</v>
      </c>
      <c r="B251" s="11">
        <v>250</v>
      </c>
      <c r="C251" t="s">
        <v>391</v>
      </c>
      <c r="G251" t="s">
        <v>19</v>
      </c>
      <c r="H251" s="10" t="s">
        <v>185</v>
      </c>
    </row>
    <row r="252" spans="1:8" ht="13.2">
      <c r="A252">
        <f t="shared" si="3"/>
        <v>251</v>
      </c>
      <c r="B252" s="11">
        <v>251</v>
      </c>
      <c r="C252" t="s">
        <v>392</v>
      </c>
      <c r="G252" t="s">
        <v>19</v>
      </c>
      <c r="H252" s="10" t="s">
        <v>185</v>
      </c>
    </row>
    <row r="253" spans="1:8" ht="13.2">
      <c r="A253">
        <f t="shared" si="3"/>
        <v>252</v>
      </c>
      <c r="B253" s="11">
        <v>252</v>
      </c>
      <c r="C253" t="s">
        <v>393</v>
      </c>
      <c r="D253" s="23" t="s">
        <v>8</v>
      </c>
      <c r="E253" s="23" t="s">
        <v>9</v>
      </c>
      <c r="F253" s="23" t="s">
        <v>9</v>
      </c>
      <c r="G253" t="s">
        <v>10</v>
      </c>
      <c r="H253" s="10" t="s">
        <v>185</v>
      </c>
    </row>
    <row r="254" spans="1:8" ht="13.2">
      <c r="A254">
        <f t="shared" si="3"/>
        <v>253</v>
      </c>
      <c r="B254" s="11">
        <v>253</v>
      </c>
      <c r="C254" t="s">
        <v>395</v>
      </c>
      <c r="D254" s="23" t="s">
        <v>8</v>
      </c>
      <c r="E254" s="23" t="s">
        <v>9</v>
      </c>
      <c r="F254" s="23" t="s">
        <v>9</v>
      </c>
      <c r="G254" t="s">
        <v>10</v>
      </c>
      <c r="H254" s="10" t="s">
        <v>185</v>
      </c>
    </row>
    <row r="255" spans="1:8" ht="13.2">
      <c r="A255">
        <f t="shared" si="3"/>
        <v>254</v>
      </c>
      <c r="B255" s="11">
        <v>254</v>
      </c>
      <c r="C255" t="s">
        <v>397</v>
      </c>
      <c r="G255" t="s">
        <v>19</v>
      </c>
      <c r="H255" s="10" t="s">
        <v>185</v>
      </c>
    </row>
    <row r="256" spans="1:8" ht="13.2">
      <c r="A256">
        <f t="shared" si="3"/>
        <v>255</v>
      </c>
      <c r="B256" s="11">
        <v>255</v>
      </c>
      <c r="C256" t="s">
        <v>398</v>
      </c>
      <c r="G256" t="s">
        <v>19</v>
      </c>
      <c r="H256" s="10" t="s">
        <v>185</v>
      </c>
    </row>
    <row r="257" spans="1:8" ht="13.2">
      <c r="A257">
        <f t="shared" si="3"/>
        <v>256</v>
      </c>
      <c r="B257" s="11">
        <v>256</v>
      </c>
      <c r="C257" t="s">
        <v>399</v>
      </c>
      <c r="D257" s="23" t="s">
        <v>8</v>
      </c>
      <c r="E257" s="23" t="s">
        <v>8</v>
      </c>
      <c r="F257" s="23" t="s">
        <v>8</v>
      </c>
      <c r="G257" t="s">
        <v>10</v>
      </c>
      <c r="H257" s="10" t="s">
        <v>185</v>
      </c>
    </row>
    <row r="258" spans="1:8" ht="13.2">
      <c r="A258">
        <f t="shared" si="3"/>
        <v>257</v>
      </c>
      <c r="B258" s="11">
        <v>257</v>
      </c>
      <c r="C258" t="s">
        <v>401</v>
      </c>
      <c r="D258" s="23" t="s">
        <v>9</v>
      </c>
      <c r="E258" s="23" t="s">
        <v>8</v>
      </c>
      <c r="F258" s="23" t="s">
        <v>8</v>
      </c>
      <c r="G258" t="s">
        <v>10</v>
      </c>
      <c r="H258" s="10" t="s">
        <v>185</v>
      </c>
    </row>
    <row r="259" spans="1:8" ht="13.2">
      <c r="A259">
        <f t="shared" si="3"/>
        <v>258</v>
      </c>
      <c r="B259" s="11">
        <v>258</v>
      </c>
      <c r="C259" t="s">
        <v>403</v>
      </c>
      <c r="D259" s="23" t="s">
        <v>9</v>
      </c>
      <c r="E259" s="23" t="s">
        <v>9</v>
      </c>
      <c r="F259" s="23" t="s">
        <v>9</v>
      </c>
      <c r="G259" t="s">
        <v>10</v>
      </c>
      <c r="H259" s="10" t="s">
        <v>185</v>
      </c>
    </row>
    <row r="260" spans="1:8" ht="13.2">
      <c r="A260">
        <f t="shared" ref="A260:B286" si="4">A259+1</f>
        <v>259</v>
      </c>
      <c r="B260" s="11">
        <v>259</v>
      </c>
      <c r="C260" t="s">
        <v>405</v>
      </c>
      <c r="D260" s="23" t="s">
        <v>9</v>
      </c>
      <c r="E260" s="23" t="s">
        <v>8</v>
      </c>
      <c r="F260" s="23" t="s">
        <v>9</v>
      </c>
      <c r="G260" t="s">
        <v>10</v>
      </c>
      <c r="H260" s="10" t="s">
        <v>185</v>
      </c>
    </row>
    <row r="261" spans="1:8" ht="13.2">
      <c r="A261">
        <f t="shared" si="4"/>
        <v>260</v>
      </c>
      <c r="B261" s="11">
        <v>260</v>
      </c>
      <c r="C261" t="s">
        <v>407</v>
      </c>
      <c r="G261" t="s">
        <v>19</v>
      </c>
      <c r="H261" s="10" t="s">
        <v>185</v>
      </c>
    </row>
    <row r="262" spans="1:8" ht="13.2">
      <c r="A262">
        <f t="shared" si="4"/>
        <v>261</v>
      </c>
      <c r="B262" s="11">
        <v>261</v>
      </c>
      <c r="C262" t="s">
        <v>408</v>
      </c>
      <c r="G262" t="s">
        <v>19</v>
      </c>
      <c r="H262" s="10" t="s">
        <v>185</v>
      </c>
    </row>
    <row r="263" spans="1:8" ht="13.2">
      <c r="A263">
        <f t="shared" si="4"/>
        <v>262</v>
      </c>
      <c r="B263" s="11">
        <v>262</v>
      </c>
      <c r="C263" t="s">
        <v>409</v>
      </c>
      <c r="G263" t="s">
        <v>19</v>
      </c>
      <c r="H263" s="10" t="s">
        <v>185</v>
      </c>
    </row>
    <row r="264" spans="1:8" ht="13.2">
      <c r="A264">
        <f t="shared" si="4"/>
        <v>263</v>
      </c>
      <c r="B264" s="11">
        <v>263</v>
      </c>
      <c r="C264" t="s">
        <v>410</v>
      </c>
      <c r="G264" t="s">
        <v>19</v>
      </c>
      <c r="H264" s="10" t="s">
        <v>185</v>
      </c>
    </row>
    <row r="265" spans="1:8" ht="13.2">
      <c r="A265">
        <f t="shared" si="4"/>
        <v>264</v>
      </c>
      <c r="B265" s="11">
        <v>264</v>
      </c>
      <c r="C265" t="s">
        <v>411</v>
      </c>
      <c r="D265" s="23" t="s">
        <v>9</v>
      </c>
      <c r="E265" s="23" t="s">
        <v>8</v>
      </c>
      <c r="F265" s="23" t="s">
        <v>9</v>
      </c>
      <c r="G265" t="s">
        <v>10</v>
      </c>
      <c r="H265" s="10" t="s">
        <v>185</v>
      </c>
    </row>
    <row r="266" spans="1:8" ht="13.2">
      <c r="A266">
        <f t="shared" si="4"/>
        <v>265</v>
      </c>
      <c r="B266" s="11">
        <v>265</v>
      </c>
      <c r="C266" t="s">
        <v>413</v>
      </c>
      <c r="G266" t="s">
        <v>19</v>
      </c>
      <c r="H266" s="10" t="s">
        <v>185</v>
      </c>
    </row>
    <row r="267" spans="1:8" ht="13.2">
      <c r="A267">
        <f t="shared" si="4"/>
        <v>266</v>
      </c>
      <c r="B267" s="11">
        <v>266</v>
      </c>
      <c r="C267" t="s">
        <v>414</v>
      </c>
      <c r="G267" t="s">
        <v>19</v>
      </c>
      <c r="H267" s="10" t="s">
        <v>185</v>
      </c>
    </row>
    <row r="268" spans="1:8" ht="13.2">
      <c r="A268">
        <f t="shared" si="4"/>
        <v>267</v>
      </c>
      <c r="B268" s="11">
        <v>267</v>
      </c>
      <c r="C268" t="s">
        <v>415</v>
      </c>
      <c r="D268" s="23" t="s">
        <v>9</v>
      </c>
      <c r="E268" s="23" t="s">
        <v>8</v>
      </c>
      <c r="F268" s="23" t="s">
        <v>9</v>
      </c>
      <c r="G268" t="s">
        <v>10</v>
      </c>
      <c r="H268" s="10" t="s">
        <v>185</v>
      </c>
    </row>
    <row r="269" spans="1:8" ht="13.2">
      <c r="A269">
        <f t="shared" si="4"/>
        <v>268</v>
      </c>
      <c r="B269" s="11">
        <v>268</v>
      </c>
      <c r="C269" t="s">
        <v>417</v>
      </c>
      <c r="D269" s="23" t="s">
        <v>8</v>
      </c>
      <c r="E269" s="23" t="s">
        <v>9</v>
      </c>
      <c r="F269" s="23" t="s">
        <v>9</v>
      </c>
      <c r="G269" t="s">
        <v>10</v>
      </c>
      <c r="H269" s="10" t="s">
        <v>185</v>
      </c>
    </row>
    <row r="270" spans="1:8" ht="13.2">
      <c r="A270">
        <f t="shared" si="4"/>
        <v>269</v>
      </c>
      <c r="B270" s="11">
        <v>269</v>
      </c>
      <c r="C270" t="s">
        <v>419</v>
      </c>
      <c r="D270" s="23" t="s">
        <v>9</v>
      </c>
      <c r="E270" s="23" t="s">
        <v>8</v>
      </c>
      <c r="F270" s="23" t="s">
        <v>9</v>
      </c>
      <c r="G270" t="s">
        <v>10</v>
      </c>
      <c r="H270" s="10" t="s">
        <v>185</v>
      </c>
    </row>
    <row r="271" spans="1:8" ht="13.2">
      <c r="A271">
        <f t="shared" si="4"/>
        <v>270</v>
      </c>
      <c r="B271" s="11">
        <v>270</v>
      </c>
      <c r="C271" t="s">
        <v>421</v>
      </c>
      <c r="D271" s="23" t="s">
        <v>9</v>
      </c>
      <c r="E271" s="23" t="s">
        <v>9</v>
      </c>
      <c r="F271" s="23" t="s">
        <v>9</v>
      </c>
      <c r="G271" t="s">
        <v>10</v>
      </c>
      <c r="H271" s="10" t="s">
        <v>185</v>
      </c>
    </row>
    <row r="272" spans="1:8" ht="13.2">
      <c r="A272">
        <f t="shared" si="4"/>
        <v>271</v>
      </c>
      <c r="B272" s="11">
        <v>271</v>
      </c>
      <c r="C272" t="s">
        <v>423</v>
      </c>
      <c r="G272" t="s">
        <v>19</v>
      </c>
      <c r="H272" s="10" t="s">
        <v>185</v>
      </c>
    </row>
    <row r="273" spans="1:8" ht="13.2">
      <c r="A273">
        <f t="shared" si="4"/>
        <v>272</v>
      </c>
      <c r="B273" s="11">
        <v>272</v>
      </c>
      <c r="C273" t="s">
        <v>424</v>
      </c>
      <c r="G273" s="15" t="s">
        <v>19</v>
      </c>
      <c r="H273" s="10" t="s">
        <v>185</v>
      </c>
    </row>
    <row r="274" spans="1:8" ht="13.2">
      <c r="A274">
        <f t="shared" si="4"/>
        <v>273</v>
      </c>
      <c r="B274" s="11">
        <v>273</v>
      </c>
      <c r="C274" t="s">
        <v>425</v>
      </c>
      <c r="D274" s="23" t="s">
        <v>9</v>
      </c>
      <c r="E274" s="23" t="s">
        <v>8</v>
      </c>
      <c r="F274" s="23" t="s">
        <v>9</v>
      </c>
      <c r="G274" t="s">
        <v>426</v>
      </c>
      <c r="H274" s="10" t="s">
        <v>185</v>
      </c>
    </row>
    <row r="275" spans="1:8" ht="13.2">
      <c r="A275">
        <f t="shared" si="4"/>
        <v>274</v>
      </c>
      <c r="B275" s="11">
        <v>274</v>
      </c>
      <c r="C275" t="s">
        <v>428</v>
      </c>
      <c r="D275" s="23" t="s">
        <v>8</v>
      </c>
      <c r="E275" s="23" t="s">
        <v>9</v>
      </c>
      <c r="F275" s="23" t="s">
        <v>8</v>
      </c>
      <c r="G275" t="s">
        <v>10</v>
      </c>
      <c r="H275" s="10" t="s">
        <v>185</v>
      </c>
    </row>
    <row r="276" spans="1:8" ht="13.2">
      <c r="A276">
        <f t="shared" si="4"/>
        <v>275</v>
      </c>
      <c r="B276" s="11">
        <v>275</v>
      </c>
      <c r="C276" t="s">
        <v>430</v>
      </c>
      <c r="D276" s="23" t="s">
        <v>8</v>
      </c>
      <c r="E276" s="23" t="s">
        <v>8</v>
      </c>
      <c r="F276" s="23" t="s">
        <v>9</v>
      </c>
      <c r="G276" t="s">
        <v>10</v>
      </c>
      <c r="H276" s="10" t="s">
        <v>185</v>
      </c>
    </row>
    <row r="277" spans="1:8" ht="13.2">
      <c r="A277">
        <f t="shared" si="4"/>
        <v>276</v>
      </c>
      <c r="B277" s="11">
        <v>276</v>
      </c>
      <c r="C277" t="s">
        <v>432</v>
      </c>
      <c r="G277" s="15" t="s">
        <v>65</v>
      </c>
      <c r="H277" s="10" t="s">
        <v>185</v>
      </c>
    </row>
    <row r="278" spans="1:8" ht="13.2">
      <c r="A278">
        <f t="shared" si="4"/>
        <v>277</v>
      </c>
      <c r="B278" s="11">
        <v>277</v>
      </c>
      <c r="C278" t="s">
        <v>433</v>
      </c>
      <c r="D278" s="23" t="s">
        <v>8</v>
      </c>
      <c r="E278" s="23" t="s">
        <v>8</v>
      </c>
      <c r="F278" s="23" t="s">
        <v>8</v>
      </c>
      <c r="G278" t="s">
        <v>10</v>
      </c>
      <c r="H278" s="10" t="s">
        <v>185</v>
      </c>
    </row>
    <row r="279" spans="1:8" ht="13.2">
      <c r="A279">
        <f t="shared" si="4"/>
        <v>278</v>
      </c>
      <c r="B279" s="11">
        <v>278</v>
      </c>
      <c r="C279" t="s">
        <v>435</v>
      </c>
      <c r="D279" s="23" t="s">
        <v>8</v>
      </c>
      <c r="E279" s="23" t="s">
        <v>9</v>
      </c>
      <c r="F279" s="23" t="s">
        <v>9</v>
      </c>
      <c r="G279" t="s">
        <v>10</v>
      </c>
      <c r="H279" s="10" t="s">
        <v>185</v>
      </c>
    </row>
    <row r="280" spans="1:8" ht="13.2">
      <c r="A280">
        <f t="shared" si="4"/>
        <v>279</v>
      </c>
      <c r="B280" s="11">
        <v>279</v>
      </c>
      <c r="C280" t="s">
        <v>437</v>
      </c>
      <c r="D280" s="23"/>
      <c r="E280" s="23"/>
      <c r="F280" s="23"/>
      <c r="G280" t="s">
        <v>19</v>
      </c>
      <c r="H280" s="10" t="s">
        <v>185</v>
      </c>
    </row>
    <row r="281" spans="1:8" ht="13.2">
      <c r="A281">
        <f t="shared" si="4"/>
        <v>280</v>
      </c>
      <c r="B281" s="11">
        <v>280</v>
      </c>
      <c r="C281" t="s">
        <v>438</v>
      </c>
      <c r="D281" s="23" t="s">
        <v>9</v>
      </c>
      <c r="E281" s="23" t="s">
        <v>9</v>
      </c>
      <c r="F281" s="23" t="s">
        <v>9</v>
      </c>
      <c r="G281" t="s">
        <v>10</v>
      </c>
      <c r="H281" s="10" t="s">
        <v>185</v>
      </c>
    </row>
    <row r="282" spans="1:8" ht="13.2">
      <c r="A282">
        <f t="shared" si="4"/>
        <v>281</v>
      </c>
      <c r="B282" s="11">
        <v>281</v>
      </c>
      <c r="C282" t="s">
        <v>440</v>
      </c>
      <c r="D282" s="23" t="s">
        <v>8</v>
      </c>
      <c r="E282" s="23" t="s">
        <v>9</v>
      </c>
      <c r="F282" s="23" t="s">
        <v>9</v>
      </c>
      <c r="G282" t="s">
        <v>10</v>
      </c>
      <c r="H282" s="10" t="s">
        <v>185</v>
      </c>
    </row>
    <row r="283" spans="1:8" ht="13.2">
      <c r="A283">
        <f t="shared" si="4"/>
        <v>282</v>
      </c>
      <c r="B283" s="11">
        <v>282</v>
      </c>
      <c r="C283" t="s">
        <v>442</v>
      </c>
      <c r="D283" s="23" t="s">
        <v>9</v>
      </c>
      <c r="E283" s="23" t="s">
        <v>8</v>
      </c>
      <c r="F283" s="23" t="s">
        <v>9</v>
      </c>
      <c r="G283" t="s">
        <v>10</v>
      </c>
      <c r="H283" s="10" t="s">
        <v>185</v>
      </c>
    </row>
    <row r="284" spans="1:8" ht="15.75" customHeight="1">
      <c r="A284">
        <f t="shared" si="4"/>
        <v>283</v>
      </c>
      <c r="B284" s="24">
        <v>283</v>
      </c>
      <c r="C284" s="25" t="s">
        <v>21</v>
      </c>
      <c r="D284" s="25" t="s">
        <v>8</v>
      </c>
      <c r="E284" s="25" t="s">
        <v>8</v>
      </c>
      <c r="F284" s="25" t="s">
        <v>9</v>
      </c>
      <c r="G284" s="25" t="s">
        <v>63</v>
      </c>
      <c r="H284" s="26" t="s">
        <v>445</v>
      </c>
    </row>
    <row r="285" spans="1:8" ht="15.75" customHeight="1">
      <c r="A285">
        <f t="shared" si="4"/>
        <v>284</v>
      </c>
      <c r="B285" s="27">
        <f>B284+1</f>
        <v>284</v>
      </c>
      <c r="C285" s="25" t="s">
        <v>349</v>
      </c>
      <c r="D285" s="25" t="s">
        <v>8</v>
      </c>
      <c r="E285" s="25" t="s">
        <v>9</v>
      </c>
      <c r="F285" s="25" t="s">
        <v>446</v>
      </c>
      <c r="G285" s="25" t="s">
        <v>63</v>
      </c>
      <c r="H285" s="26" t="s">
        <v>445</v>
      </c>
    </row>
    <row r="286" spans="1:8" ht="15.75" customHeight="1">
      <c r="A286">
        <f t="shared" si="4"/>
        <v>285</v>
      </c>
      <c r="B286" s="27">
        <f t="shared" si="4"/>
        <v>285</v>
      </c>
      <c r="C286" s="25" t="s">
        <v>287</v>
      </c>
      <c r="D286" s="25"/>
      <c r="E286" s="25"/>
      <c r="F286" s="25"/>
      <c r="G286" s="25" t="s">
        <v>65</v>
      </c>
      <c r="H286" s="26" t="s">
        <v>445</v>
      </c>
    </row>
    <row r="287" spans="1:8" ht="15.75" customHeight="1">
      <c r="A287">
        <f t="shared" ref="A287:B302" si="5">A286+1</f>
        <v>286</v>
      </c>
      <c r="B287" s="27">
        <f t="shared" si="5"/>
        <v>286</v>
      </c>
      <c r="C287" s="25" t="s">
        <v>298</v>
      </c>
      <c r="D287" s="25"/>
      <c r="E287" s="25"/>
      <c r="F287" s="25"/>
      <c r="G287" s="25" t="s">
        <v>65</v>
      </c>
      <c r="H287" s="26" t="s">
        <v>445</v>
      </c>
    </row>
    <row r="288" spans="1:8" ht="15.75" customHeight="1">
      <c r="A288">
        <f t="shared" si="5"/>
        <v>287</v>
      </c>
      <c r="B288" s="27">
        <f t="shared" si="5"/>
        <v>287</v>
      </c>
      <c r="C288" s="25" t="s">
        <v>448</v>
      </c>
      <c r="D288" s="25" t="s">
        <v>8</v>
      </c>
      <c r="E288" s="25" t="s">
        <v>8</v>
      </c>
      <c r="F288" s="25" t="s">
        <v>9</v>
      </c>
      <c r="G288" s="25" t="s">
        <v>63</v>
      </c>
      <c r="H288" s="26" t="s">
        <v>445</v>
      </c>
    </row>
    <row r="289" spans="1:10" ht="15.75" customHeight="1">
      <c r="A289">
        <f t="shared" si="5"/>
        <v>288</v>
      </c>
      <c r="B289" s="27">
        <f t="shared" si="5"/>
        <v>288</v>
      </c>
      <c r="C289" s="25" t="s">
        <v>351</v>
      </c>
      <c r="D289" s="25"/>
      <c r="E289" s="25"/>
      <c r="F289" s="25"/>
      <c r="G289" s="25" t="s">
        <v>65</v>
      </c>
      <c r="H289" s="26" t="s">
        <v>445</v>
      </c>
    </row>
    <row r="290" spans="1:10" ht="15.75" customHeight="1">
      <c r="A290">
        <f t="shared" si="5"/>
        <v>289</v>
      </c>
      <c r="B290" s="27">
        <f t="shared" si="5"/>
        <v>289</v>
      </c>
      <c r="C290" s="25" t="s">
        <v>437</v>
      </c>
      <c r="D290" s="25"/>
      <c r="E290" s="25"/>
      <c r="F290" s="25"/>
      <c r="G290" s="25" t="s">
        <v>65</v>
      </c>
      <c r="H290" s="26" t="s">
        <v>445</v>
      </c>
    </row>
    <row r="291" spans="1:10" ht="15.75" customHeight="1">
      <c r="A291">
        <f t="shared" si="5"/>
        <v>290</v>
      </c>
      <c r="B291" s="27">
        <f t="shared" si="5"/>
        <v>290</v>
      </c>
      <c r="C291" s="25" t="s">
        <v>376</v>
      </c>
      <c r="D291" s="25" t="s">
        <v>9</v>
      </c>
      <c r="E291" s="25" t="s">
        <v>8</v>
      </c>
      <c r="F291" s="25" t="s">
        <v>8</v>
      </c>
      <c r="G291" s="25" t="s">
        <v>63</v>
      </c>
      <c r="H291" s="26" t="s">
        <v>445</v>
      </c>
    </row>
    <row r="292" spans="1:10" ht="15.75" customHeight="1">
      <c r="A292">
        <f t="shared" si="5"/>
        <v>291</v>
      </c>
      <c r="B292" s="27">
        <f t="shared" si="5"/>
        <v>291</v>
      </c>
      <c r="C292" s="25" t="s">
        <v>451</v>
      </c>
      <c r="D292" s="25" t="s">
        <v>493</v>
      </c>
      <c r="E292" s="25" t="s">
        <v>9</v>
      </c>
      <c r="F292" s="25" t="s">
        <v>9</v>
      </c>
      <c r="G292" s="25" t="s">
        <v>63</v>
      </c>
      <c r="H292" s="26" t="s">
        <v>445</v>
      </c>
    </row>
    <row r="293" spans="1:10" ht="15.75" customHeight="1">
      <c r="A293">
        <f t="shared" si="5"/>
        <v>292</v>
      </c>
      <c r="B293" s="28">
        <f>B292+1</f>
        <v>292</v>
      </c>
      <c r="C293" s="25" t="s">
        <v>453</v>
      </c>
      <c r="D293" s="25" t="s">
        <v>8</v>
      </c>
      <c r="E293" s="25" t="s">
        <v>494</v>
      </c>
      <c r="F293" s="25" t="s">
        <v>8</v>
      </c>
      <c r="G293" s="25" t="s">
        <v>63</v>
      </c>
      <c r="H293" s="10" t="s">
        <v>455</v>
      </c>
    </row>
    <row r="294" spans="1:10" ht="15.75" customHeight="1">
      <c r="A294">
        <f t="shared" si="5"/>
        <v>293</v>
      </c>
      <c r="B294" s="28">
        <f t="shared" si="5"/>
        <v>293</v>
      </c>
      <c r="C294" s="25" t="s">
        <v>456</v>
      </c>
      <c r="D294" s="25" t="s">
        <v>9</v>
      </c>
      <c r="E294" s="25" t="s">
        <v>9</v>
      </c>
      <c r="F294" s="25" t="s">
        <v>9</v>
      </c>
      <c r="G294" s="25" t="s">
        <v>63</v>
      </c>
      <c r="H294" s="10" t="s">
        <v>455</v>
      </c>
    </row>
    <row r="295" spans="1:10" ht="15.75" customHeight="1">
      <c r="A295">
        <f t="shared" si="5"/>
        <v>294</v>
      </c>
      <c r="B295" s="28">
        <f t="shared" si="5"/>
        <v>294</v>
      </c>
      <c r="C295" s="25" t="s">
        <v>458</v>
      </c>
      <c r="D295" s="25" t="s">
        <v>9</v>
      </c>
      <c r="E295" s="25" t="s">
        <v>9</v>
      </c>
      <c r="F295" s="25" t="s">
        <v>9</v>
      </c>
      <c r="G295" s="25" t="s">
        <v>63</v>
      </c>
      <c r="H295" s="10" t="s">
        <v>455</v>
      </c>
    </row>
    <row r="296" spans="1:10" ht="15.75" customHeight="1">
      <c r="A296">
        <f t="shared" si="5"/>
        <v>295</v>
      </c>
      <c r="B296" s="28">
        <f t="shared" si="5"/>
        <v>295</v>
      </c>
      <c r="C296" s="25" t="s">
        <v>460</v>
      </c>
      <c r="D296" s="25" t="s">
        <v>9</v>
      </c>
      <c r="E296" s="25" t="s">
        <v>9</v>
      </c>
      <c r="F296" s="25" t="s">
        <v>9</v>
      </c>
      <c r="G296" s="25" t="s">
        <v>63</v>
      </c>
      <c r="H296" s="10" t="s">
        <v>455</v>
      </c>
    </row>
    <row r="297" spans="1:10" ht="15.75" customHeight="1">
      <c r="A297">
        <f t="shared" si="5"/>
        <v>296</v>
      </c>
      <c r="B297" s="28">
        <f>B296+1</f>
        <v>296</v>
      </c>
      <c r="C297" t="s">
        <v>379</v>
      </c>
      <c r="D297" s="19" t="s">
        <v>8</v>
      </c>
      <c r="E297" s="19" t="s">
        <v>8</v>
      </c>
      <c r="F297" s="19" t="s">
        <v>8</v>
      </c>
      <c r="G297" s="19" t="s">
        <v>10</v>
      </c>
      <c r="H297" s="10" t="s">
        <v>463</v>
      </c>
    </row>
    <row r="298" spans="1:10" ht="15.75" customHeight="1">
      <c r="A298">
        <f t="shared" si="5"/>
        <v>297</v>
      </c>
      <c r="B298" s="28">
        <f t="shared" si="5"/>
        <v>297</v>
      </c>
      <c r="C298" t="s">
        <v>464</v>
      </c>
      <c r="H298" s="10" t="s">
        <v>463</v>
      </c>
    </row>
    <row r="299" spans="1:10" ht="15.75" customHeight="1">
      <c r="A299">
        <f t="shared" si="5"/>
        <v>298</v>
      </c>
      <c r="B299" s="28">
        <f t="shared" si="5"/>
        <v>298</v>
      </c>
      <c r="C299" t="s">
        <v>465</v>
      </c>
      <c r="H299" s="10" t="s">
        <v>463</v>
      </c>
      <c r="J299" t="s">
        <v>495</v>
      </c>
    </row>
    <row r="300" spans="1:10" ht="15.75" customHeight="1">
      <c r="A300">
        <f t="shared" si="5"/>
        <v>299</v>
      </c>
      <c r="B300" s="28">
        <f t="shared" si="5"/>
        <v>299</v>
      </c>
      <c r="C300" t="s">
        <v>466</v>
      </c>
      <c r="H300" s="10" t="s">
        <v>463</v>
      </c>
    </row>
    <row r="301" spans="1:10" ht="15.75" customHeight="1">
      <c r="A301">
        <f t="shared" si="5"/>
        <v>300</v>
      </c>
      <c r="B301" s="28">
        <f t="shared" si="5"/>
        <v>300</v>
      </c>
      <c r="C301" t="s">
        <v>467</v>
      </c>
      <c r="H301" s="10" t="s">
        <v>463</v>
      </c>
    </row>
    <row r="302" spans="1:10" ht="15.75" customHeight="1">
      <c r="A302">
        <f t="shared" si="5"/>
        <v>301</v>
      </c>
      <c r="B302" s="28">
        <f t="shared" si="5"/>
        <v>301</v>
      </c>
      <c r="C302" t="s">
        <v>468</v>
      </c>
      <c r="H302" s="10" t="s">
        <v>463</v>
      </c>
    </row>
    <row r="303" spans="1:10" ht="15.75" customHeight="1">
      <c r="A303">
        <f t="shared" ref="A303:B314" si="6">A302+1</f>
        <v>302</v>
      </c>
      <c r="B303" s="28">
        <f t="shared" si="6"/>
        <v>302</v>
      </c>
      <c r="C303" t="s">
        <v>469</v>
      </c>
      <c r="H303" s="10" t="s">
        <v>463</v>
      </c>
    </row>
    <row r="304" spans="1:10" ht="15.75" customHeight="1">
      <c r="A304" s="14">
        <v>303</v>
      </c>
      <c r="B304" s="14">
        <f t="shared" si="6"/>
        <v>303</v>
      </c>
      <c r="C304" s="17" t="s">
        <v>470</v>
      </c>
      <c r="G304" s="16" t="s">
        <v>19</v>
      </c>
      <c r="H304" t="s">
        <v>481</v>
      </c>
      <c r="I304" s="13" t="s">
        <v>482</v>
      </c>
    </row>
    <row r="305" spans="1:9" ht="15.75" customHeight="1">
      <c r="A305" s="14">
        <v>304</v>
      </c>
      <c r="B305" s="14">
        <f t="shared" si="6"/>
        <v>304</v>
      </c>
      <c r="C305" t="s">
        <v>471</v>
      </c>
      <c r="D305">
        <v>0</v>
      </c>
      <c r="E305">
        <v>0</v>
      </c>
      <c r="F305">
        <v>0</v>
      </c>
      <c r="G305" s="15" t="s">
        <v>10</v>
      </c>
      <c r="H305" t="s">
        <v>472</v>
      </c>
      <c r="I305" s="13" t="s">
        <v>482</v>
      </c>
    </row>
    <row r="306" spans="1:9" ht="15.75" customHeight="1">
      <c r="A306" s="14">
        <v>305</v>
      </c>
      <c r="B306" s="14">
        <f t="shared" si="6"/>
        <v>305</v>
      </c>
      <c r="C306" t="s">
        <v>473</v>
      </c>
      <c r="G306" s="15" t="s">
        <v>19</v>
      </c>
      <c r="H306" t="s">
        <v>481</v>
      </c>
      <c r="I306" s="13" t="s">
        <v>482</v>
      </c>
    </row>
    <row r="307" spans="1:9" ht="15.75" customHeight="1">
      <c r="A307" s="14">
        <v>306</v>
      </c>
      <c r="B307" s="14">
        <f t="shared" si="6"/>
        <v>306</v>
      </c>
      <c r="C307" t="s">
        <v>474</v>
      </c>
      <c r="D307">
        <v>1</v>
      </c>
      <c r="E307">
        <v>0</v>
      </c>
      <c r="F307">
        <v>0</v>
      </c>
      <c r="G307" s="15" t="s">
        <v>10</v>
      </c>
      <c r="H307" t="s">
        <v>475</v>
      </c>
      <c r="I307" s="13" t="s">
        <v>482</v>
      </c>
    </row>
    <row r="308" spans="1:9" ht="15.75" customHeight="1">
      <c r="A308" s="14">
        <v>307</v>
      </c>
      <c r="B308" s="14">
        <f t="shared" si="6"/>
        <v>307</v>
      </c>
      <c r="C308" t="s">
        <v>476</v>
      </c>
      <c r="G308" s="15" t="s">
        <v>19</v>
      </c>
      <c r="H308" t="s">
        <v>481</v>
      </c>
      <c r="I308" s="13" t="s">
        <v>482</v>
      </c>
    </row>
    <row r="309" spans="1:9" ht="15.75" customHeight="1">
      <c r="A309" s="14">
        <v>308</v>
      </c>
      <c r="B309" s="14">
        <f t="shared" si="6"/>
        <v>308</v>
      </c>
      <c r="C309" t="s">
        <v>477</v>
      </c>
      <c r="D309">
        <v>0</v>
      </c>
      <c r="E309">
        <v>0</v>
      </c>
      <c r="F309">
        <v>0</v>
      </c>
      <c r="G309" s="15" t="s">
        <v>10</v>
      </c>
      <c r="H309" t="s">
        <v>478</v>
      </c>
      <c r="I309" s="13" t="s">
        <v>482</v>
      </c>
    </row>
    <row r="310" spans="1:9" ht="15.75" customHeight="1">
      <c r="A310" s="14">
        <v>309</v>
      </c>
      <c r="B310" s="14">
        <f t="shared" si="6"/>
        <v>309</v>
      </c>
      <c r="C310" t="s">
        <v>479</v>
      </c>
      <c r="D310">
        <v>1</v>
      </c>
      <c r="E310">
        <v>0</v>
      </c>
      <c r="F310">
        <v>0</v>
      </c>
      <c r="G310" s="15" t="s">
        <v>10</v>
      </c>
      <c r="H310" t="s">
        <v>480</v>
      </c>
      <c r="I310" s="13" t="s">
        <v>482</v>
      </c>
    </row>
    <row r="311" spans="1:9" ht="15.75" customHeight="1">
      <c r="A311" s="14">
        <v>310</v>
      </c>
      <c r="B311" s="14">
        <f t="shared" si="6"/>
        <v>310</v>
      </c>
      <c r="C311" t="s">
        <v>483</v>
      </c>
      <c r="D311" s="18">
        <v>1</v>
      </c>
      <c r="E311" s="19">
        <v>0</v>
      </c>
      <c r="F311" s="19">
        <v>0</v>
      </c>
      <c r="G311" s="15" t="s">
        <v>10</v>
      </c>
      <c r="H311" s="20" t="s">
        <v>486</v>
      </c>
      <c r="I311" s="13" t="s">
        <v>490</v>
      </c>
    </row>
    <row r="312" spans="1:9" ht="15.75" customHeight="1">
      <c r="A312" s="14">
        <v>311</v>
      </c>
      <c r="B312" s="14">
        <f t="shared" si="6"/>
        <v>311</v>
      </c>
      <c r="C312" t="s">
        <v>201</v>
      </c>
      <c r="D312" s="18">
        <v>1</v>
      </c>
      <c r="E312" s="19">
        <v>0</v>
      </c>
      <c r="F312" s="19">
        <v>0</v>
      </c>
      <c r="G312" s="15" t="s">
        <v>10</v>
      </c>
      <c r="H312" s="20" t="s">
        <v>487</v>
      </c>
      <c r="I312" s="13" t="s">
        <v>490</v>
      </c>
    </row>
    <row r="313" spans="1:9" ht="15.75" customHeight="1">
      <c r="A313" s="14">
        <v>312</v>
      </c>
      <c r="B313" s="14">
        <f t="shared" si="6"/>
        <v>312</v>
      </c>
      <c r="C313" t="s">
        <v>484</v>
      </c>
      <c r="D313" s="18">
        <v>1</v>
      </c>
      <c r="E313" s="19">
        <v>0</v>
      </c>
      <c r="F313" s="19">
        <v>0</v>
      </c>
      <c r="G313" s="15" t="s">
        <v>10</v>
      </c>
      <c r="H313" s="20" t="s">
        <v>488</v>
      </c>
      <c r="I313" s="13" t="s">
        <v>490</v>
      </c>
    </row>
    <row r="314" spans="1:9" ht="15.75" customHeight="1">
      <c r="A314" s="14">
        <v>313</v>
      </c>
      <c r="B314" s="14">
        <f t="shared" si="6"/>
        <v>313</v>
      </c>
      <c r="C314" t="s">
        <v>485</v>
      </c>
      <c r="D314" s="19">
        <v>0</v>
      </c>
      <c r="E314" s="19">
        <v>0</v>
      </c>
      <c r="F314" s="19">
        <v>0</v>
      </c>
      <c r="G314" s="15" t="s">
        <v>10</v>
      </c>
      <c r="H314" s="20" t="s">
        <v>489</v>
      </c>
      <c r="I314" s="13" t="s">
        <v>490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205"/>
  <sheetViews>
    <sheetView topLeftCell="A169" zoomScale="64" zoomScaleNormal="81" workbookViewId="0">
      <selection activeCell="G208" sqref="G208"/>
    </sheetView>
  </sheetViews>
  <sheetFormatPr defaultColWidth="12.5546875" defaultRowHeight="15.75" customHeight="1"/>
  <cols>
    <col min="4" max="4" width="19.44140625" customWidth="1"/>
  </cols>
  <sheetData>
    <row r="1" spans="1:12" ht="15.75" customHeight="1">
      <c r="A1" s="13"/>
      <c r="B1" s="12" t="s">
        <v>114</v>
      </c>
      <c r="C1" s="13" t="s">
        <v>0</v>
      </c>
      <c r="D1" s="13" t="s">
        <v>1</v>
      </c>
      <c r="E1" s="13" t="s">
        <v>2</v>
      </c>
      <c r="F1" s="13" t="s">
        <v>3</v>
      </c>
      <c r="G1" s="13" t="s">
        <v>4</v>
      </c>
      <c r="H1" s="13" t="s">
        <v>491</v>
      </c>
      <c r="I1" s="13" t="s">
        <v>5</v>
      </c>
      <c r="J1" s="13" t="s">
        <v>115</v>
      </c>
      <c r="K1" s="31" t="s">
        <v>6</v>
      </c>
      <c r="L1" s="32"/>
    </row>
    <row r="2" spans="1:12" ht="15.75" customHeight="1">
      <c r="A2" s="14">
        <v>1</v>
      </c>
      <c r="B2" s="14">
        <v>1</v>
      </c>
      <c r="C2" s="14">
        <v>1</v>
      </c>
      <c r="D2" s="13" t="s">
        <v>7</v>
      </c>
      <c r="E2" s="13">
        <v>1</v>
      </c>
      <c r="F2" s="13">
        <v>0</v>
      </c>
      <c r="G2" s="13">
        <v>0</v>
      </c>
      <c r="H2" s="13">
        <v>1</v>
      </c>
      <c r="I2" s="13" t="s">
        <v>10</v>
      </c>
      <c r="J2" s="13" t="s">
        <v>116</v>
      </c>
      <c r="K2" s="13" t="s">
        <v>11</v>
      </c>
      <c r="L2" s="13"/>
    </row>
    <row r="3" spans="1:12" ht="15.75" customHeight="1">
      <c r="A3" s="14">
        <v>2</v>
      </c>
      <c r="B3" s="14">
        <v>2</v>
      </c>
      <c r="C3" s="14">
        <v>2</v>
      </c>
      <c r="D3" s="13" t="s">
        <v>12</v>
      </c>
      <c r="E3" s="13">
        <v>1</v>
      </c>
      <c r="F3" s="13">
        <v>0</v>
      </c>
      <c r="G3" s="13">
        <v>1</v>
      </c>
      <c r="H3" s="13">
        <v>1</v>
      </c>
      <c r="I3" s="13" t="s">
        <v>10</v>
      </c>
      <c r="J3" s="13" t="s">
        <v>117</v>
      </c>
      <c r="K3" s="13" t="s">
        <v>11</v>
      </c>
      <c r="L3" s="13"/>
    </row>
    <row r="4" spans="1:12" ht="15.75" customHeight="1">
      <c r="A4" s="14">
        <v>3</v>
      </c>
      <c r="B4" s="14">
        <v>3</v>
      </c>
      <c r="C4" s="14">
        <v>3</v>
      </c>
      <c r="D4" s="13" t="s">
        <v>13</v>
      </c>
      <c r="E4" s="13">
        <v>1</v>
      </c>
      <c r="F4" s="13">
        <v>0</v>
      </c>
      <c r="G4" s="13">
        <v>0</v>
      </c>
      <c r="H4" s="13">
        <v>1</v>
      </c>
      <c r="I4" s="13" t="s">
        <v>10</v>
      </c>
      <c r="J4" s="13" t="s">
        <v>118</v>
      </c>
      <c r="K4" s="13" t="s">
        <v>11</v>
      </c>
      <c r="L4" s="13"/>
    </row>
    <row r="5" spans="1:12" ht="15.75" customHeight="1">
      <c r="A5" s="14">
        <v>4</v>
      </c>
      <c r="B5" s="14">
        <v>4</v>
      </c>
      <c r="C5" s="14">
        <v>4</v>
      </c>
      <c r="D5" s="13" t="s">
        <v>14</v>
      </c>
      <c r="E5" s="13">
        <v>1</v>
      </c>
      <c r="F5" s="13">
        <v>0</v>
      </c>
      <c r="G5" s="13">
        <v>1</v>
      </c>
      <c r="H5" s="13">
        <v>1</v>
      </c>
      <c r="I5" s="13" t="s">
        <v>10</v>
      </c>
      <c r="J5" s="13" t="s">
        <v>119</v>
      </c>
      <c r="K5" s="13" t="s">
        <v>11</v>
      </c>
      <c r="L5" s="13"/>
    </row>
    <row r="6" spans="1:12" ht="15.75" customHeight="1">
      <c r="A6" s="14">
        <v>5</v>
      </c>
      <c r="B6" s="14">
        <v>5</v>
      </c>
      <c r="C6" s="14">
        <v>5</v>
      </c>
      <c r="D6" s="13" t="s">
        <v>15</v>
      </c>
      <c r="E6" s="13">
        <v>0</v>
      </c>
      <c r="F6" s="13">
        <v>1</v>
      </c>
      <c r="G6" s="13">
        <v>1</v>
      </c>
      <c r="H6" s="13">
        <v>1</v>
      </c>
      <c r="I6" s="13" t="s">
        <v>10</v>
      </c>
      <c r="J6" s="13" t="s">
        <v>120</v>
      </c>
      <c r="K6" s="13" t="s">
        <v>11</v>
      </c>
      <c r="L6" s="13"/>
    </row>
    <row r="7" spans="1:12" ht="15.75" customHeight="1">
      <c r="A7" s="14">
        <v>6</v>
      </c>
      <c r="B7" s="14">
        <v>6</v>
      </c>
      <c r="C7" s="14">
        <v>6</v>
      </c>
      <c r="D7" s="13" t="s">
        <v>16</v>
      </c>
      <c r="E7" s="13">
        <v>0</v>
      </c>
      <c r="F7" s="13">
        <v>0</v>
      </c>
      <c r="G7" s="13">
        <v>1</v>
      </c>
      <c r="H7" s="13">
        <v>1</v>
      </c>
      <c r="I7" s="13" t="s">
        <v>10</v>
      </c>
      <c r="J7" s="13" t="s">
        <v>121</v>
      </c>
      <c r="K7" s="13" t="s">
        <v>11</v>
      </c>
      <c r="L7" s="13"/>
    </row>
    <row r="8" spans="1:12" ht="15.75" customHeight="1">
      <c r="A8" s="14">
        <v>7</v>
      </c>
      <c r="B8" s="14">
        <v>7</v>
      </c>
      <c r="C8" s="14">
        <v>7</v>
      </c>
      <c r="D8" s="13" t="s">
        <v>17</v>
      </c>
      <c r="E8" s="13">
        <v>0</v>
      </c>
      <c r="F8" s="13">
        <v>0</v>
      </c>
      <c r="G8" s="13">
        <v>1</v>
      </c>
      <c r="H8" s="13">
        <v>0</v>
      </c>
      <c r="I8" s="13" t="s">
        <v>10</v>
      </c>
      <c r="J8" s="13" t="s">
        <v>122</v>
      </c>
      <c r="K8" s="13" t="s">
        <v>11</v>
      </c>
      <c r="L8" s="13"/>
    </row>
    <row r="9" spans="1:12" ht="15.75" customHeight="1">
      <c r="A9" s="14">
        <v>8</v>
      </c>
      <c r="B9" s="14">
        <v>9</v>
      </c>
      <c r="C9" s="14">
        <v>9</v>
      </c>
      <c r="D9" s="13" t="s">
        <v>20</v>
      </c>
      <c r="E9" s="13">
        <v>0</v>
      </c>
      <c r="F9" s="13">
        <v>0</v>
      </c>
      <c r="G9" s="13">
        <v>1</v>
      </c>
      <c r="H9" s="13">
        <v>1</v>
      </c>
      <c r="I9" s="13" t="s">
        <v>10</v>
      </c>
      <c r="J9" s="13" t="s">
        <v>123</v>
      </c>
      <c r="K9" s="13" t="s">
        <v>11</v>
      </c>
      <c r="L9" s="13"/>
    </row>
    <row r="10" spans="1:12" ht="15.75" customHeight="1">
      <c r="A10" s="14">
        <v>9</v>
      </c>
      <c r="B10" s="14">
        <v>10</v>
      </c>
      <c r="C10" s="14">
        <v>10</v>
      </c>
      <c r="D10" s="13" t="s">
        <v>21</v>
      </c>
      <c r="E10" s="13">
        <v>1</v>
      </c>
      <c r="F10" s="13">
        <v>1</v>
      </c>
      <c r="G10" s="13">
        <v>1</v>
      </c>
      <c r="H10" s="13">
        <v>1</v>
      </c>
      <c r="I10" s="13" t="s">
        <v>10</v>
      </c>
      <c r="J10" s="13" t="s">
        <v>124</v>
      </c>
      <c r="K10" s="13" t="s">
        <v>11</v>
      </c>
      <c r="L10" s="13"/>
    </row>
    <row r="11" spans="1:12" ht="15.75" customHeight="1">
      <c r="A11" s="14">
        <v>10</v>
      </c>
      <c r="B11" s="14">
        <v>12</v>
      </c>
      <c r="C11" s="14">
        <v>12</v>
      </c>
      <c r="D11" s="13" t="s">
        <v>23</v>
      </c>
      <c r="E11" s="13">
        <v>1</v>
      </c>
      <c r="F11" s="13">
        <v>0</v>
      </c>
      <c r="G11" s="13">
        <v>1</v>
      </c>
      <c r="H11" s="13">
        <v>0</v>
      </c>
      <c r="I11" s="13" t="s">
        <v>10</v>
      </c>
      <c r="J11" s="13" t="s">
        <v>125</v>
      </c>
      <c r="K11" s="13" t="s">
        <v>11</v>
      </c>
      <c r="L11" s="13"/>
    </row>
    <row r="12" spans="1:12" ht="15.75" customHeight="1">
      <c r="A12" s="14">
        <v>11</v>
      </c>
      <c r="B12" s="14">
        <v>13</v>
      </c>
      <c r="C12" s="14">
        <v>13</v>
      </c>
      <c r="D12" s="13" t="s">
        <v>24</v>
      </c>
      <c r="E12" s="13">
        <v>1</v>
      </c>
      <c r="F12" s="13">
        <v>0</v>
      </c>
      <c r="G12" s="13">
        <v>1</v>
      </c>
      <c r="H12" s="13">
        <v>1</v>
      </c>
      <c r="I12" s="13" t="s">
        <v>10</v>
      </c>
      <c r="J12" s="13" t="s">
        <v>126</v>
      </c>
      <c r="K12" s="13" t="s">
        <v>11</v>
      </c>
      <c r="L12" s="13"/>
    </row>
    <row r="13" spans="1:12" ht="15.75" customHeight="1">
      <c r="A13" s="14">
        <v>12</v>
      </c>
      <c r="B13" s="14">
        <v>14</v>
      </c>
      <c r="C13" s="14">
        <v>14</v>
      </c>
      <c r="D13" s="13" t="s">
        <v>25</v>
      </c>
      <c r="E13" s="13">
        <v>0</v>
      </c>
      <c r="F13" s="13">
        <v>0</v>
      </c>
      <c r="G13" s="13">
        <v>1</v>
      </c>
      <c r="H13" s="13">
        <v>1</v>
      </c>
      <c r="I13" s="13" t="s">
        <v>10</v>
      </c>
      <c r="J13" s="13" t="s">
        <v>127</v>
      </c>
      <c r="K13" s="13" t="s">
        <v>11</v>
      </c>
      <c r="L13" s="13"/>
    </row>
    <row r="14" spans="1:12" ht="15.75" customHeight="1">
      <c r="A14" s="14">
        <v>13</v>
      </c>
      <c r="B14" s="14">
        <v>16</v>
      </c>
      <c r="C14" s="14">
        <v>16</v>
      </c>
      <c r="D14" s="13" t="s">
        <v>27</v>
      </c>
      <c r="E14" s="13">
        <v>0</v>
      </c>
      <c r="F14" s="13">
        <v>0</v>
      </c>
      <c r="G14" s="13">
        <v>1</v>
      </c>
      <c r="H14" s="13">
        <v>1</v>
      </c>
      <c r="I14" s="13" t="s">
        <v>10</v>
      </c>
      <c r="J14" s="13" t="s">
        <v>128</v>
      </c>
      <c r="K14" s="13" t="s">
        <v>11</v>
      </c>
      <c r="L14" s="13"/>
    </row>
    <row r="15" spans="1:12" ht="15.75" customHeight="1">
      <c r="A15" s="14">
        <v>14</v>
      </c>
      <c r="B15" s="14">
        <v>19</v>
      </c>
      <c r="C15" s="14">
        <v>19</v>
      </c>
      <c r="D15" s="13" t="s">
        <v>30</v>
      </c>
      <c r="E15" s="13">
        <v>1</v>
      </c>
      <c r="F15" s="13">
        <v>0</v>
      </c>
      <c r="G15" s="13">
        <v>1</v>
      </c>
      <c r="H15" s="13">
        <v>0</v>
      </c>
      <c r="I15" s="13" t="s">
        <v>10</v>
      </c>
      <c r="J15" s="13" t="s">
        <v>129</v>
      </c>
      <c r="K15" s="13" t="s">
        <v>11</v>
      </c>
      <c r="L15" s="13"/>
    </row>
    <row r="16" spans="1:12" ht="15.75" customHeight="1">
      <c r="A16" s="14">
        <v>15</v>
      </c>
      <c r="B16" s="14">
        <v>20</v>
      </c>
      <c r="C16" s="14">
        <v>20</v>
      </c>
      <c r="D16" s="13" t="s">
        <v>31</v>
      </c>
      <c r="E16" s="13">
        <v>0</v>
      </c>
      <c r="F16" s="13">
        <v>0</v>
      </c>
      <c r="G16" s="13">
        <v>1</v>
      </c>
      <c r="H16" s="13">
        <v>1</v>
      </c>
      <c r="I16" s="13" t="s">
        <v>10</v>
      </c>
      <c r="J16" s="13" t="s">
        <v>130</v>
      </c>
      <c r="K16" s="13" t="s">
        <v>11</v>
      </c>
      <c r="L16" s="13"/>
    </row>
    <row r="17" spans="1:12" ht="15.75" customHeight="1">
      <c r="A17" s="14">
        <v>16</v>
      </c>
      <c r="B17" s="14">
        <v>21</v>
      </c>
      <c r="C17" s="14">
        <v>21</v>
      </c>
      <c r="D17" s="13" t="s">
        <v>32</v>
      </c>
      <c r="E17" s="13">
        <v>1</v>
      </c>
      <c r="F17" s="13">
        <v>0</v>
      </c>
      <c r="G17" s="13">
        <v>1</v>
      </c>
      <c r="H17" s="13">
        <v>1</v>
      </c>
      <c r="I17" s="13" t="s">
        <v>10</v>
      </c>
      <c r="J17" s="13" t="s">
        <v>131</v>
      </c>
      <c r="K17" s="13" t="s">
        <v>11</v>
      </c>
      <c r="L17" s="13"/>
    </row>
    <row r="18" spans="1:12" ht="15.75" customHeight="1">
      <c r="A18" s="14">
        <v>17</v>
      </c>
      <c r="B18" s="14">
        <v>23</v>
      </c>
      <c r="C18" s="14">
        <v>23</v>
      </c>
      <c r="D18" s="13" t="s">
        <v>34</v>
      </c>
      <c r="E18" s="13">
        <v>0</v>
      </c>
      <c r="F18" s="13">
        <v>0</v>
      </c>
      <c r="G18" s="13">
        <v>1</v>
      </c>
      <c r="H18" s="13">
        <v>1</v>
      </c>
      <c r="I18" s="13" t="s">
        <v>10</v>
      </c>
      <c r="J18" s="13" t="s">
        <v>132</v>
      </c>
      <c r="K18" s="13" t="s">
        <v>11</v>
      </c>
      <c r="L18" s="13"/>
    </row>
    <row r="19" spans="1:12" ht="15.75" customHeight="1">
      <c r="A19" s="14">
        <v>18</v>
      </c>
      <c r="B19" s="14">
        <v>25</v>
      </c>
      <c r="C19" s="14">
        <v>25</v>
      </c>
      <c r="D19" s="13" t="s">
        <v>36</v>
      </c>
      <c r="E19" s="13">
        <v>1</v>
      </c>
      <c r="F19" s="13">
        <v>0</v>
      </c>
      <c r="G19" s="13">
        <v>1</v>
      </c>
      <c r="H19" s="13">
        <v>1</v>
      </c>
      <c r="I19" s="13" t="s">
        <v>10</v>
      </c>
      <c r="J19" s="13" t="s">
        <v>133</v>
      </c>
      <c r="K19" s="13" t="s">
        <v>11</v>
      </c>
      <c r="L19" s="13"/>
    </row>
    <row r="20" spans="1:12" ht="15.75" customHeight="1">
      <c r="A20" s="14">
        <v>19</v>
      </c>
      <c r="B20" s="14">
        <v>26</v>
      </c>
      <c r="C20" s="14">
        <v>26</v>
      </c>
      <c r="D20" s="13" t="s">
        <v>37</v>
      </c>
      <c r="E20" s="13">
        <v>1</v>
      </c>
      <c r="F20" s="13">
        <v>0</v>
      </c>
      <c r="G20" s="13">
        <v>1</v>
      </c>
      <c r="H20" s="13">
        <v>0</v>
      </c>
      <c r="I20" s="13" t="s">
        <v>10</v>
      </c>
      <c r="J20" s="13" t="s">
        <v>134</v>
      </c>
      <c r="K20" s="13" t="s">
        <v>11</v>
      </c>
      <c r="L20" s="13"/>
    </row>
    <row r="21" spans="1:12" ht="15.75" customHeight="1">
      <c r="A21" s="14">
        <v>20</v>
      </c>
      <c r="B21" s="14">
        <v>27</v>
      </c>
      <c r="C21" s="14">
        <v>27</v>
      </c>
      <c r="D21" s="13" t="s">
        <v>38</v>
      </c>
      <c r="E21" s="13">
        <v>0</v>
      </c>
      <c r="F21" s="13">
        <v>0</v>
      </c>
      <c r="G21" s="13">
        <v>1</v>
      </c>
      <c r="H21" s="13">
        <v>1</v>
      </c>
      <c r="I21" s="13" t="s">
        <v>10</v>
      </c>
      <c r="J21" s="13" t="s">
        <v>135</v>
      </c>
      <c r="K21" s="13" t="s">
        <v>11</v>
      </c>
      <c r="L21" s="13"/>
    </row>
    <row r="22" spans="1:12" ht="15.75" customHeight="1">
      <c r="A22" s="14">
        <v>21</v>
      </c>
      <c r="B22" s="14">
        <v>28</v>
      </c>
      <c r="C22" s="14">
        <v>28</v>
      </c>
      <c r="D22" s="13" t="s">
        <v>39</v>
      </c>
      <c r="E22" s="13">
        <v>1</v>
      </c>
      <c r="F22" s="13">
        <v>0</v>
      </c>
      <c r="G22" s="13">
        <v>1</v>
      </c>
      <c r="H22" s="13">
        <v>1</v>
      </c>
      <c r="I22" s="13" t="s">
        <v>10</v>
      </c>
      <c r="J22" s="13" t="s">
        <v>136</v>
      </c>
      <c r="K22" s="13" t="s">
        <v>11</v>
      </c>
      <c r="L22" s="13"/>
    </row>
    <row r="23" spans="1:12" ht="15.75" customHeight="1">
      <c r="A23" s="14">
        <v>22</v>
      </c>
      <c r="B23" s="14">
        <v>29</v>
      </c>
      <c r="C23" s="14">
        <v>29</v>
      </c>
      <c r="D23" s="13" t="s">
        <v>40</v>
      </c>
      <c r="E23" s="13">
        <v>0</v>
      </c>
      <c r="F23" s="13">
        <v>0</v>
      </c>
      <c r="G23" s="13">
        <v>1</v>
      </c>
      <c r="H23" s="13">
        <v>1</v>
      </c>
      <c r="I23" s="13" t="s">
        <v>10</v>
      </c>
      <c r="J23" s="13" t="s">
        <v>137</v>
      </c>
      <c r="K23" s="13" t="s">
        <v>11</v>
      </c>
      <c r="L23" s="13"/>
    </row>
    <row r="24" spans="1:12" ht="15.75" customHeight="1">
      <c r="A24" s="14">
        <v>23</v>
      </c>
      <c r="B24" s="14">
        <v>30</v>
      </c>
      <c r="C24" s="14">
        <v>30</v>
      </c>
      <c r="D24" s="13" t="s">
        <v>41</v>
      </c>
      <c r="E24" s="13">
        <v>1</v>
      </c>
      <c r="F24" s="13">
        <v>0</v>
      </c>
      <c r="G24" s="13">
        <v>1</v>
      </c>
      <c r="H24" s="13">
        <v>0</v>
      </c>
      <c r="I24" s="13" t="s">
        <v>10</v>
      </c>
      <c r="J24" s="13" t="s">
        <v>138</v>
      </c>
      <c r="K24" s="13" t="s">
        <v>11</v>
      </c>
      <c r="L24" s="13"/>
    </row>
    <row r="25" spans="1:12" ht="15.75" customHeight="1">
      <c r="A25" s="14">
        <v>24</v>
      </c>
      <c r="B25" s="14">
        <v>31</v>
      </c>
      <c r="C25" s="14">
        <v>31</v>
      </c>
      <c r="D25" s="13" t="s">
        <v>42</v>
      </c>
      <c r="E25" s="13">
        <v>1</v>
      </c>
      <c r="F25" s="13">
        <v>0</v>
      </c>
      <c r="G25" s="13">
        <v>1</v>
      </c>
      <c r="H25" s="13">
        <v>1</v>
      </c>
      <c r="I25" s="13" t="s">
        <v>10</v>
      </c>
      <c r="J25" s="13" t="s">
        <v>139</v>
      </c>
      <c r="K25" s="13" t="s">
        <v>11</v>
      </c>
      <c r="L25" s="13"/>
    </row>
    <row r="26" spans="1:12" ht="15.75" customHeight="1">
      <c r="A26" s="14">
        <v>25</v>
      </c>
      <c r="B26" s="14">
        <v>33</v>
      </c>
      <c r="C26" s="14">
        <v>33</v>
      </c>
      <c r="D26" s="13" t="s">
        <v>44</v>
      </c>
      <c r="E26" s="13">
        <v>0</v>
      </c>
      <c r="F26" s="13">
        <v>0</v>
      </c>
      <c r="G26" s="13">
        <v>1</v>
      </c>
      <c r="H26" s="13">
        <v>1</v>
      </c>
      <c r="I26" s="13" t="s">
        <v>10</v>
      </c>
      <c r="J26" s="13" t="s">
        <v>140</v>
      </c>
      <c r="K26" s="13" t="s">
        <v>11</v>
      </c>
      <c r="L26" s="13"/>
    </row>
    <row r="27" spans="1:12" ht="15.75" customHeight="1">
      <c r="A27" s="14">
        <v>26</v>
      </c>
      <c r="B27" s="14">
        <v>34</v>
      </c>
      <c r="C27" s="14">
        <v>34</v>
      </c>
      <c r="D27" s="13" t="s">
        <v>45</v>
      </c>
      <c r="E27" s="13">
        <v>0</v>
      </c>
      <c r="F27" s="13">
        <v>0</v>
      </c>
      <c r="G27" s="13">
        <v>1</v>
      </c>
      <c r="H27" s="13">
        <v>0</v>
      </c>
      <c r="I27" s="13" t="s">
        <v>10</v>
      </c>
      <c r="J27" s="13" t="s">
        <v>141</v>
      </c>
      <c r="K27" s="13" t="s">
        <v>11</v>
      </c>
      <c r="L27" s="13"/>
    </row>
    <row r="28" spans="1:12" ht="15.75" customHeight="1">
      <c r="A28" s="14">
        <v>27</v>
      </c>
      <c r="B28" s="14">
        <v>35</v>
      </c>
      <c r="C28" s="14">
        <v>35</v>
      </c>
      <c r="D28" s="13" t="s">
        <v>46</v>
      </c>
      <c r="E28" s="13">
        <v>0</v>
      </c>
      <c r="F28" s="13">
        <v>0</v>
      </c>
      <c r="G28" s="13">
        <v>0</v>
      </c>
      <c r="H28" s="13">
        <v>1</v>
      </c>
      <c r="I28" s="13" t="s">
        <v>10</v>
      </c>
      <c r="J28" s="13" t="s">
        <v>142</v>
      </c>
      <c r="K28" s="13" t="s">
        <v>11</v>
      </c>
      <c r="L28" s="13"/>
    </row>
    <row r="29" spans="1:12" ht="15.75" customHeight="1">
      <c r="A29" s="14">
        <v>28</v>
      </c>
      <c r="B29" s="14">
        <v>37</v>
      </c>
      <c r="C29" s="14">
        <v>37</v>
      </c>
      <c r="D29" s="13" t="s">
        <v>48</v>
      </c>
      <c r="E29" s="13">
        <v>0</v>
      </c>
      <c r="F29" s="13">
        <v>0</v>
      </c>
      <c r="G29" s="13">
        <v>1</v>
      </c>
      <c r="H29" s="13">
        <v>1</v>
      </c>
      <c r="I29" s="13" t="s">
        <v>10</v>
      </c>
      <c r="J29" s="13" t="s">
        <v>143</v>
      </c>
      <c r="K29" s="13" t="s">
        <v>11</v>
      </c>
      <c r="L29" s="13"/>
    </row>
    <row r="30" spans="1:12" ht="15.75" customHeight="1">
      <c r="A30" s="14">
        <v>29</v>
      </c>
      <c r="B30" s="14">
        <v>39</v>
      </c>
      <c r="C30" s="14">
        <v>39</v>
      </c>
      <c r="D30" s="13" t="s">
        <v>50</v>
      </c>
      <c r="E30" s="13">
        <v>0</v>
      </c>
      <c r="F30" s="13">
        <v>0</v>
      </c>
      <c r="G30" s="13">
        <v>1</v>
      </c>
      <c r="H30" s="13">
        <v>1</v>
      </c>
      <c r="I30" s="13" t="s">
        <v>10</v>
      </c>
      <c r="J30" s="13" t="s">
        <v>144</v>
      </c>
      <c r="K30" s="13" t="s">
        <v>11</v>
      </c>
      <c r="L30" s="13"/>
    </row>
    <row r="31" spans="1:12" ht="15.75" customHeight="1">
      <c r="A31" s="14">
        <v>30</v>
      </c>
      <c r="B31" s="14">
        <v>40</v>
      </c>
      <c r="C31" s="14">
        <v>40</v>
      </c>
      <c r="D31" s="13" t="s">
        <v>51</v>
      </c>
      <c r="E31" s="13">
        <v>1</v>
      </c>
      <c r="F31" s="13">
        <v>0</v>
      </c>
      <c r="G31" s="13">
        <v>1</v>
      </c>
      <c r="H31" s="13">
        <v>1</v>
      </c>
      <c r="I31" s="13" t="s">
        <v>10</v>
      </c>
      <c r="J31" s="13" t="s">
        <v>145</v>
      </c>
      <c r="K31" s="13" t="s">
        <v>11</v>
      </c>
      <c r="L31" s="13"/>
    </row>
    <row r="32" spans="1:12" ht="15.75" customHeight="1">
      <c r="A32" s="14">
        <v>31</v>
      </c>
      <c r="B32" s="14">
        <v>41</v>
      </c>
      <c r="C32" s="14">
        <v>41</v>
      </c>
      <c r="D32" s="13" t="s">
        <v>52</v>
      </c>
      <c r="E32" s="13">
        <v>1</v>
      </c>
      <c r="F32" s="13">
        <v>0</v>
      </c>
      <c r="G32" s="13">
        <v>1</v>
      </c>
      <c r="H32" s="13">
        <v>1</v>
      </c>
      <c r="I32" s="13" t="s">
        <v>10</v>
      </c>
      <c r="J32" s="13" t="s">
        <v>146</v>
      </c>
      <c r="K32" s="13" t="s">
        <v>11</v>
      </c>
      <c r="L32" s="13"/>
    </row>
    <row r="33" spans="1:12" ht="15.75" customHeight="1">
      <c r="A33" s="14">
        <v>32</v>
      </c>
      <c r="B33" s="14">
        <v>42</v>
      </c>
      <c r="C33" s="14">
        <v>42</v>
      </c>
      <c r="D33" s="13" t="s">
        <v>53</v>
      </c>
      <c r="E33" s="13">
        <v>0</v>
      </c>
      <c r="F33" s="13">
        <v>0</v>
      </c>
      <c r="G33" s="13">
        <v>0</v>
      </c>
      <c r="H33" s="13">
        <v>0</v>
      </c>
      <c r="I33" s="13" t="s">
        <v>10</v>
      </c>
      <c r="J33" s="13" t="s">
        <v>147</v>
      </c>
      <c r="K33" s="13" t="s">
        <v>11</v>
      </c>
      <c r="L33" s="13"/>
    </row>
    <row r="34" spans="1:12" ht="15.75" customHeight="1">
      <c r="A34" s="14">
        <v>33</v>
      </c>
      <c r="B34" s="14">
        <v>44</v>
      </c>
      <c r="C34" s="14">
        <v>44</v>
      </c>
      <c r="D34" s="13" t="s">
        <v>55</v>
      </c>
      <c r="E34" s="13">
        <v>0</v>
      </c>
      <c r="F34" s="13">
        <v>0</v>
      </c>
      <c r="G34" s="13">
        <v>1</v>
      </c>
      <c r="H34" s="13">
        <v>1</v>
      </c>
      <c r="I34" s="13" t="s">
        <v>10</v>
      </c>
      <c r="J34" s="13" t="s">
        <v>148</v>
      </c>
      <c r="K34" s="13" t="s">
        <v>11</v>
      </c>
      <c r="L34" s="13"/>
    </row>
    <row r="35" spans="1:12" ht="15.75" customHeight="1">
      <c r="A35" s="14">
        <v>34</v>
      </c>
      <c r="B35" s="14">
        <v>45</v>
      </c>
      <c r="C35" s="14">
        <v>45</v>
      </c>
      <c r="D35" s="13" t="s">
        <v>56</v>
      </c>
      <c r="E35" s="13">
        <v>0</v>
      </c>
      <c r="F35" s="13">
        <v>0</v>
      </c>
      <c r="G35" s="13">
        <v>1</v>
      </c>
      <c r="H35" s="13">
        <v>1</v>
      </c>
      <c r="I35" s="13" t="s">
        <v>10</v>
      </c>
      <c r="J35" s="13" t="s">
        <v>149</v>
      </c>
      <c r="K35" s="13" t="s">
        <v>11</v>
      </c>
      <c r="L35" s="13"/>
    </row>
    <row r="36" spans="1:12" ht="15.75" customHeight="1">
      <c r="A36" s="14">
        <v>35</v>
      </c>
      <c r="B36" s="14">
        <v>46</v>
      </c>
      <c r="C36" s="14">
        <v>46</v>
      </c>
      <c r="D36" s="13" t="s">
        <v>57</v>
      </c>
      <c r="E36" s="13">
        <v>0</v>
      </c>
      <c r="F36" s="13">
        <v>0</v>
      </c>
      <c r="G36" s="13">
        <v>1</v>
      </c>
      <c r="H36" s="13">
        <v>1</v>
      </c>
      <c r="I36" s="13" t="s">
        <v>10</v>
      </c>
      <c r="J36" s="13" t="s">
        <v>150</v>
      </c>
      <c r="K36" s="13" t="s">
        <v>11</v>
      </c>
      <c r="L36" s="13"/>
    </row>
    <row r="37" spans="1:12" ht="15.75" customHeight="1">
      <c r="A37" s="14">
        <v>36</v>
      </c>
      <c r="B37" s="14">
        <v>48</v>
      </c>
      <c r="C37" s="14">
        <v>48</v>
      </c>
      <c r="D37" s="13" t="s">
        <v>59</v>
      </c>
      <c r="E37" s="13">
        <v>1</v>
      </c>
      <c r="F37" s="13">
        <v>1</v>
      </c>
      <c r="G37" s="13">
        <v>1</v>
      </c>
      <c r="H37" s="13">
        <v>1</v>
      </c>
      <c r="I37" s="13" t="s">
        <v>10</v>
      </c>
      <c r="J37" s="13" t="s">
        <v>151</v>
      </c>
      <c r="K37" s="13" t="s">
        <v>11</v>
      </c>
      <c r="L37" s="13"/>
    </row>
    <row r="38" spans="1:12" ht="14.4">
      <c r="A38" s="14">
        <v>37</v>
      </c>
      <c r="B38" s="14">
        <v>49</v>
      </c>
      <c r="C38" s="14">
        <v>49</v>
      </c>
      <c r="D38" s="13" t="s">
        <v>60</v>
      </c>
      <c r="E38" s="13">
        <v>0</v>
      </c>
      <c r="F38" s="13">
        <v>1</v>
      </c>
      <c r="G38" s="13">
        <v>1</v>
      </c>
      <c r="H38" s="13">
        <v>1</v>
      </c>
      <c r="I38" s="13" t="s">
        <v>10</v>
      </c>
      <c r="J38" s="13" t="s">
        <v>152</v>
      </c>
      <c r="K38" s="13" t="s">
        <v>11</v>
      </c>
      <c r="L38" s="13"/>
    </row>
    <row r="39" spans="1:12" ht="14.4">
      <c r="A39" s="14">
        <v>38</v>
      </c>
      <c r="B39" s="14">
        <v>50</v>
      </c>
      <c r="C39" s="14">
        <v>50</v>
      </c>
      <c r="D39" s="13" t="s">
        <v>61</v>
      </c>
      <c r="E39" s="13">
        <v>0</v>
      </c>
      <c r="F39" s="13">
        <v>0</v>
      </c>
      <c r="G39" s="13">
        <v>0</v>
      </c>
      <c r="H39" s="13">
        <v>1</v>
      </c>
      <c r="I39" s="13" t="s">
        <v>10</v>
      </c>
      <c r="J39" s="13" t="s">
        <v>153</v>
      </c>
      <c r="K39" s="13" t="s">
        <v>11</v>
      </c>
      <c r="L39" s="13"/>
    </row>
    <row r="40" spans="1:12" ht="14.4">
      <c r="A40" s="14">
        <v>39</v>
      </c>
      <c r="B40" s="14">
        <v>51</v>
      </c>
      <c r="C40" s="14">
        <v>51</v>
      </c>
      <c r="D40" s="13" t="s">
        <v>62</v>
      </c>
      <c r="E40" s="13">
        <v>0</v>
      </c>
      <c r="F40" s="13">
        <v>0</v>
      </c>
      <c r="G40" s="13">
        <v>1</v>
      </c>
      <c r="H40" s="21">
        <v>1</v>
      </c>
      <c r="I40" s="13" t="s">
        <v>63</v>
      </c>
      <c r="J40" s="13" t="s">
        <v>154</v>
      </c>
      <c r="K40" s="13" t="s">
        <v>11</v>
      </c>
      <c r="L40" s="13"/>
    </row>
    <row r="41" spans="1:12" ht="14.4">
      <c r="A41" s="14">
        <v>40</v>
      </c>
      <c r="B41" s="14">
        <v>53</v>
      </c>
      <c r="C41" s="14">
        <v>53</v>
      </c>
      <c r="D41" s="13" t="s">
        <v>66</v>
      </c>
      <c r="E41" s="13">
        <v>0</v>
      </c>
      <c r="F41" s="13">
        <v>0</v>
      </c>
      <c r="G41" s="13">
        <v>1</v>
      </c>
      <c r="H41" s="21">
        <v>0</v>
      </c>
      <c r="I41" s="13" t="s">
        <v>63</v>
      </c>
      <c r="J41" s="13" t="s">
        <v>155</v>
      </c>
      <c r="K41" s="13" t="s">
        <v>11</v>
      </c>
      <c r="L41" s="13"/>
    </row>
    <row r="42" spans="1:12" ht="14.4">
      <c r="A42" s="14">
        <v>41</v>
      </c>
      <c r="B42" s="14">
        <v>55</v>
      </c>
      <c r="C42" s="14">
        <v>55</v>
      </c>
      <c r="D42" s="13" t="s">
        <v>68</v>
      </c>
      <c r="E42" s="13">
        <v>1</v>
      </c>
      <c r="F42" s="13">
        <v>0</v>
      </c>
      <c r="G42" s="13">
        <v>1</v>
      </c>
      <c r="H42" s="21">
        <v>0</v>
      </c>
      <c r="I42" s="13" t="s">
        <v>63</v>
      </c>
      <c r="J42" s="13" t="s">
        <v>156</v>
      </c>
      <c r="K42" s="13" t="s">
        <v>11</v>
      </c>
      <c r="L42" s="13"/>
    </row>
    <row r="43" spans="1:12" ht="14.4">
      <c r="A43" s="14">
        <v>42</v>
      </c>
      <c r="B43" s="14">
        <v>56</v>
      </c>
      <c r="C43" s="14">
        <v>56</v>
      </c>
      <c r="D43" s="13" t="s">
        <v>69</v>
      </c>
      <c r="E43" s="13">
        <v>0</v>
      </c>
      <c r="F43" s="13">
        <v>0</v>
      </c>
      <c r="G43" s="13">
        <v>0</v>
      </c>
      <c r="H43" s="21">
        <v>0</v>
      </c>
      <c r="I43" s="13" t="s">
        <v>63</v>
      </c>
      <c r="J43" s="13" t="s">
        <v>157</v>
      </c>
      <c r="K43" s="13" t="s">
        <v>11</v>
      </c>
      <c r="L43" s="13"/>
    </row>
    <row r="44" spans="1:12" ht="14.4">
      <c r="A44" s="14">
        <v>43</v>
      </c>
      <c r="B44" s="14">
        <v>57</v>
      </c>
      <c r="C44" s="14">
        <v>57</v>
      </c>
      <c r="D44" s="13" t="s">
        <v>70</v>
      </c>
      <c r="E44" s="13">
        <v>0</v>
      </c>
      <c r="F44" s="13">
        <v>0</v>
      </c>
      <c r="G44" s="13">
        <v>1</v>
      </c>
      <c r="H44" s="21">
        <v>0</v>
      </c>
      <c r="I44" s="13" t="s">
        <v>63</v>
      </c>
      <c r="J44" s="13" t="s">
        <v>158</v>
      </c>
      <c r="K44" s="13" t="s">
        <v>11</v>
      </c>
      <c r="L44" s="13"/>
    </row>
    <row r="45" spans="1:12" ht="14.4">
      <c r="A45" s="14">
        <v>44</v>
      </c>
      <c r="B45" s="14">
        <v>58</v>
      </c>
      <c r="C45" s="14">
        <v>58</v>
      </c>
      <c r="D45" s="13" t="s">
        <v>71</v>
      </c>
      <c r="E45" s="13">
        <v>1</v>
      </c>
      <c r="F45" s="13">
        <v>0</v>
      </c>
      <c r="G45" s="13">
        <v>1</v>
      </c>
      <c r="H45" s="21">
        <v>1</v>
      </c>
      <c r="I45" s="13" t="s">
        <v>63</v>
      </c>
      <c r="J45" s="13" t="s">
        <v>159</v>
      </c>
      <c r="K45" s="13" t="s">
        <v>11</v>
      </c>
      <c r="L45" s="13"/>
    </row>
    <row r="46" spans="1:12" ht="14.4">
      <c r="A46" s="14">
        <v>45</v>
      </c>
      <c r="B46" s="14">
        <v>59</v>
      </c>
      <c r="C46" s="14">
        <v>59</v>
      </c>
      <c r="D46" s="13" t="s">
        <v>72</v>
      </c>
      <c r="E46" s="13">
        <v>0</v>
      </c>
      <c r="F46" s="13">
        <v>0</v>
      </c>
      <c r="G46" s="13">
        <v>1</v>
      </c>
      <c r="H46" s="21">
        <v>1</v>
      </c>
      <c r="I46" s="13" t="s">
        <v>63</v>
      </c>
      <c r="J46" s="13" t="s">
        <v>160</v>
      </c>
      <c r="K46" s="13" t="s">
        <v>11</v>
      </c>
      <c r="L46" s="13"/>
    </row>
    <row r="47" spans="1:12" ht="14.4">
      <c r="A47" s="14">
        <v>46</v>
      </c>
      <c r="B47" s="14">
        <v>60</v>
      </c>
      <c r="C47" s="14">
        <v>60</v>
      </c>
      <c r="D47" s="13" t="s">
        <v>73</v>
      </c>
      <c r="E47" s="13">
        <v>0</v>
      </c>
      <c r="F47" s="13">
        <v>0</v>
      </c>
      <c r="G47" s="13">
        <v>1</v>
      </c>
      <c r="H47" s="21">
        <v>1</v>
      </c>
      <c r="I47" s="13" t="s">
        <v>63</v>
      </c>
      <c r="J47" s="13" t="s">
        <v>161</v>
      </c>
      <c r="K47" s="13" t="s">
        <v>11</v>
      </c>
      <c r="L47" s="13"/>
    </row>
    <row r="48" spans="1:12" ht="14.4">
      <c r="A48" s="14">
        <v>47</v>
      </c>
      <c r="B48" s="14">
        <v>64</v>
      </c>
      <c r="C48" s="14">
        <v>64</v>
      </c>
      <c r="D48" s="13" t="s">
        <v>77</v>
      </c>
      <c r="E48" s="13">
        <v>0</v>
      </c>
      <c r="F48" s="13">
        <v>0</v>
      </c>
      <c r="G48" s="13">
        <v>1</v>
      </c>
      <c r="H48" s="21">
        <v>0</v>
      </c>
      <c r="I48" s="13" t="s">
        <v>63</v>
      </c>
      <c r="J48" s="13" t="s">
        <v>162</v>
      </c>
      <c r="K48" s="13" t="s">
        <v>11</v>
      </c>
      <c r="L48" s="13"/>
    </row>
    <row r="49" spans="1:12" ht="14.4">
      <c r="A49" s="14">
        <v>48</v>
      </c>
      <c r="B49" s="14">
        <v>65</v>
      </c>
      <c r="C49" s="14">
        <v>65</v>
      </c>
      <c r="D49" s="13" t="s">
        <v>78</v>
      </c>
      <c r="E49" s="13">
        <v>0</v>
      </c>
      <c r="F49" s="13">
        <v>0</v>
      </c>
      <c r="G49" s="13">
        <v>1</v>
      </c>
      <c r="H49" s="21">
        <v>1</v>
      </c>
      <c r="I49" s="13" t="s">
        <v>63</v>
      </c>
      <c r="J49" s="13" t="s">
        <v>163</v>
      </c>
      <c r="K49" s="13" t="s">
        <v>11</v>
      </c>
      <c r="L49" s="13"/>
    </row>
    <row r="50" spans="1:12" ht="14.4">
      <c r="A50" s="14">
        <v>49</v>
      </c>
      <c r="B50" s="14">
        <v>66</v>
      </c>
      <c r="C50" s="14">
        <v>66</v>
      </c>
      <c r="D50" s="13" t="s">
        <v>79</v>
      </c>
      <c r="E50" s="13">
        <v>0</v>
      </c>
      <c r="F50" s="13">
        <v>0</v>
      </c>
      <c r="G50" s="13">
        <v>1</v>
      </c>
      <c r="H50" s="21">
        <v>1</v>
      </c>
      <c r="I50" s="13" t="s">
        <v>63</v>
      </c>
      <c r="J50" s="13" t="s">
        <v>164</v>
      </c>
      <c r="K50" s="13" t="s">
        <v>11</v>
      </c>
      <c r="L50" s="13"/>
    </row>
    <row r="51" spans="1:12" ht="14.4">
      <c r="A51" s="14">
        <v>50</v>
      </c>
      <c r="B51" s="14">
        <v>67</v>
      </c>
      <c r="C51" s="14">
        <v>67</v>
      </c>
      <c r="D51" s="13" t="s">
        <v>80</v>
      </c>
      <c r="E51" s="13">
        <v>0</v>
      </c>
      <c r="F51" s="13">
        <v>1</v>
      </c>
      <c r="G51" s="13">
        <v>1</v>
      </c>
      <c r="H51" s="21">
        <v>1</v>
      </c>
      <c r="I51" s="13" t="s">
        <v>63</v>
      </c>
      <c r="J51" s="13" t="s">
        <v>165</v>
      </c>
      <c r="K51" s="13" t="s">
        <v>11</v>
      </c>
      <c r="L51" s="13"/>
    </row>
    <row r="52" spans="1:12" ht="14.4">
      <c r="A52" s="14">
        <v>51</v>
      </c>
      <c r="B52" s="14">
        <v>69</v>
      </c>
      <c r="C52" s="14">
        <v>69</v>
      </c>
      <c r="D52" s="13" t="s">
        <v>82</v>
      </c>
      <c r="E52" s="13">
        <v>0</v>
      </c>
      <c r="F52" s="13">
        <v>0</v>
      </c>
      <c r="G52" s="13">
        <v>0</v>
      </c>
      <c r="H52" s="21">
        <v>0</v>
      </c>
      <c r="I52" s="13" t="s">
        <v>63</v>
      </c>
      <c r="J52" s="13" t="s">
        <v>166</v>
      </c>
      <c r="K52" s="13" t="s">
        <v>11</v>
      </c>
      <c r="L52" s="13"/>
    </row>
    <row r="53" spans="1:12" ht="14.4">
      <c r="A53" s="14">
        <v>52</v>
      </c>
      <c r="B53" s="14">
        <v>70</v>
      </c>
      <c r="C53" s="14">
        <v>70</v>
      </c>
      <c r="D53" s="13" t="s">
        <v>83</v>
      </c>
      <c r="E53" s="13">
        <v>0</v>
      </c>
      <c r="F53" s="13">
        <v>1</v>
      </c>
      <c r="G53" s="13">
        <v>1</v>
      </c>
      <c r="H53" s="21">
        <v>1</v>
      </c>
      <c r="I53" s="13" t="s">
        <v>63</v>
      </c>
      <c r="J53" s="13" t="s">
        <v>167</v>
      </c>
      <c r="K53" s="13" t="s">
        <v>11</v>
      </c>
      <c r="L53" s="13"/>
    </row>
    <row r="54" spans="1:12" ht="14.4">
      <c r="A54" s="14">
        <v>53</v>
      </c>
      <c r="B54" s="14">
        <v>71</v>
      </c>
      <c r="C54" s="14">
        <v>71</v>
      </c>
      <c r="D54" s="13" t="s">
        <v>84</v>
      </c>
      <c r="E54" s="13">
        <v>0</v>
      </c>
      <c r="F54" s="13">
        <v>1</v>
      </c>
      <c r="G54" s="13">
        <v>1</v>
      </c>
      <c r="H54" s="21">
        <v>1</v>
      </c>
      <c r="I54" s="13" t="s">
        <v>63</v>
      </c>
      <c r="J54" s="13" t="s">
        <v>168</v>
      </c>
      <c r="K54" s="13" t="s">
        <v>11</v>
      </c>
      <c r="L54" s="13"/>
    </row>
    <row r="55" spans="1:12" ht="14.4">
      <c r="A55" s="14">
        <v>54</v>
      </c>
      <c r="B55" s="14">
        <v>72</v>
      </c>
      <c r="C55" s="14">
        <v>72</v>
      </c>
      <c r="D55" s="13" t="s">
        <v>85</v>
      </c>
      <c r="E55" s="13">
        <v>0</v>
      </c>
      <c r="F55" s="13">
        <v>1</v>
      </c>
      <c r="G55" s="13">
        <v>1</v>
      </c>
      <c r="H55" s="21">
        <v>1</v>
      </c>
      <c r="I55" s="13" t="s">
        <v>63</v>
      </c>
      <c r="J55" s="13" t="s">
        <v>169</v>
      </c>
      <c r="K55" s="13" t="s">
        <v>11</v>
      </c>
      <c r="L55" s="13"/>
    </row>
    <row r="56" spans="1:12" ht="14.4">
      <c r="A56" s="14">
        <v>55</v>
      </c>
      <c r="B56" s="14">
        <v>73</v>
      </c>
      <c r="C56" s="14">
        <v>73</v>
      </c>
      <c r="D56" s="13" t="s">
        <v>86</v>
      </c>
      <c r="E56" s="13">
        <v>0</v>
      </c>
      <c r="F56" s="13">
        <v>1</v>
      </c>
      <c r="G56" s="13">
        <v>1</v>
      </c>
      <c r="H56" s="21">
        <v>1</v>
      </c>
      <c r="I56" s="13" t="s">
        <v>63</v>
      </c>
      <c r="J56" s="13" t="s">
        <v>170</v>
      </c>
      <c r="K56" s="13" t="s">
        <v>11</v>
      </c>
      <c r="L56" s="13"/>
    </row>
    <row r="57" spans="1:12" ht="14.4">
      <c r="A57" s="14">
        <v>56</v>
      </c>
      <c r="B57" s="14">
        <v>76</v>
      </c>
      <c r="C57" s="14">
        <v>76</v>
      </c>
      <c r="D57" s="13" t="s">
        <v>89</v>
      </c>
      <c r="E57" s="13">
        <v>0</v>
      </c>
      <c r="F57" s="13">
        <v>1</v>
      </c>
      <c r="G57" s="13">
        <v>1</v>
      </c>
      <c r="H57" s="21">
        <v>1</v>
      </c>
      <c r="I57" s="13" t="s">
        <v>63</v>
      </c>
      <c r="J57" s="13" t="s">
        <v>171</v>
      </c>
      <c r="K57" s="13" t="s">
        <v>11</v>
      </c>
      <c r="L57" s="13"/>
    </row>
    <row r="58" spans="1:12" ht="14.4">
      <c r="A58" s="14">
        <v>57</v>
      </c>
      <c r="B58" s="14">
        <v>77</v>
      </c>
      <c r="C58" s="14">
        <v>77</v>
      </c>
      <c r="D58" s="13" t="s">
        <v>90</v>
      </c>
      <c r="E58" s="13">
        <v>0</v>
      </c>
      <c r="F58" s="13">
        <v>0</v>
      </c>
      <c r="G58" s="13">
        <v>1</v>
      </c>
      <c r="H58" s="21">
        <v>0</v>
      </c>
      <c r="I58" s="13" t="s">
        <v>63</v>
      </c>
      <c r="J58" s="13" t="s">
        <v>172</v>
      </c>
      <c r="K58" s="13" t="s">
        <v>11</v>
      </c>
      <c r="L58" s="13"/>
    </row>
    <row r="59" spans="1:12" ht="14.4">
      <c r="A59" s="14">
        <v>58</v>
      </c>
      <c r="B59" s="14">
        <v>80</v>
      </c>
      <c r="C59" s="14">
        <v>80</v>
      </c>
      <c r="D59" s="13" t="s">
        <v>93</v>
      </c>
      <c r="E59" s="13">
        <v>0</v>
      </c>
      <c r="F59" s="13">
        <v>0</v>
      </c>
      <c r="G59" s="13">
        <v>1</v>
      </c>
      <c r="H59" s="21">
        <v>0</v>
      </c>
      <c r="I59" s="13" t="s">
        <v>63</v>
      </c>
      <c r="J59" s="13" t="s">
        <v>173</v>
      </c>
      <c r="K59" s="13" t="s">
        <v>11</v>
      </c>
      <c r="L59" s="13"/>
    </row>
    <row r="60" spans="1:12" ht="14.4">
      <c r="A60" s="14">
        <v>59</v>
      </c>
      <c r="B60" s="14">
        <v>84</v>
      </c>
      <c r="C60" s="14">
        <v>84</v>
      </c>
      <c r="D60" s="13" t="s">
        <v>97</v>
      </c>
      <c r="E60" s="13">
        <v>0</v>
      </c>
      <c r="F60" s="13">
        <v>0</v>
      </c>
      <c r="G60" s="13">
        <v>1</v>
      </c>
      <c r="H60" s="21">
        <v>0</v>
      </c>
      <c r="I60" s="13" t="s">
        <v>63</v>
      </c>
      <c r="J60" s="13" t="s">
        <v>174</v>
      </c>
      <c r="K60" s="13" t="s">
        <v>11</v>
      </c>
      <c r="L60" s="13"/>
    </row>
    <row r="61" spans="1:12" ht="14.4">
      <c r="A61" s="14">
        <v>60</v>
      </c>
      <c r="B61" s="14">
        <v>87</v>
      </c>
      <c r="C61" s="14">
        <v>87</v>
      </c>
      <c r="D61" s="13" t="s">
        <v>100</v>
      </c>
      <c r="E61" s="13">
        <v>0</v>
      </c>
      <c r="F61" s="13">
        <v>0</v>
      </c>
      <c r="G61" s="13">
        <v>0</v>
      </c>
      <c r="H61" s="21">
        <v>0</v>
      </c>
      <c r="I61" s="13" t="s">
        <v>63</v>
      </c>
      <c r="J61" s="13" t="s">
        <v>175</v>
      </c>
      <c r="K61" s="13" t="s">
        <v>11</v>
      </c>
      <c r="L61" s="13"/>
    </row>
    <row r="62" spans="1:12" ht="14.4">
      <c r="A62" s="14">
        <v>61</v>
      </c>
      <c r="B62" s="14">
        <v>93</v>
      </c>
      <c r="C62" s="14">
        <v>93</v>
      </c>
      <c r="D62" s="13" t="s">
        <v>106</v>
      </c>
      <c r="E62" s="13">
        <v>1</v>
      </c>
      <c r="F62" s="13">
        <v>0</v>
      </c>
      <c r="G62" s="13">
        <v>1</v>
      </c>
      <c r="H62" s="21">
        <v>0</v>
      </c>
      <c r="I62" s="13" t="s">
        <v>63</v>
      </c>
      <c r="J62" s="13" t="s">
        <v>176</v>
      </c>
      <c r="K62" s="13" t="s">
        <v>11</v>
      </c>
      <c r="L62" s="13"/>
    </row>
    <row r="63" spans="1:12" ht="14.4">
      <c r="A63" s="14">
        <v>62</v>
      </c>
      <c r="B63" s="14">
        <v>94</v>
      </c>
      <c r="C63" s="14">
        <v>94</v>
      </c>
      <c r="D63" s="13" t="s">
        <v>107</v>
      </c>
      <c r="E63" s="13">
        <v>0</v>
      </c>
      <c r="F63" s="13">
        <v>0</v>
      </c>
      <c r="G63" s="13">
        <v>1</v>
      </c>
      <c r="H63" s="21">
        <v>0</v>
      </c>
      <c r="I63" s="13" t="s">
        <v>63</v>
      </c>
      <c r="J63" s="13" t="s">
        <v>177</v>
      </c>
      <c r="K63" s="13" t="s">
        <v>11</v>
      </c>
      <c r="L63" s="13"/>
    </row>
    <row r="64" spans="1:12" ht="14.4">
      <c r="A64" s="14">
        <v>63</v>
      </c>
      <c r="B64" s="14">
        <v>95</v>
      </c>
      <c r="C64" s="14">
        <v>95</v>
      </c>
      <c r="D64" s="13" t="s">
        <v>108</v>
      </c>
      <c r="E64" s="13">
        <v>0</v>
      </c>
      <c r="F64" s="13">
        <v>0</v>
      </c>
      <c r="G64" s="13">
        <v>1</v>
      </c>
      <c r="H64" s="21">
        <v>0</v>
      </c>
      <c r="I64" s="13" t="s">
        <v>63</v>
      </c>
      <c r="J64" s="13" t="s">
        <v>178</v>
      </c>
      <c r="K64" s="13" t="s">
        <v>11</v>
      </c>
      <c r="L64" s="13"/>
    </row>
    <row r="65" spans="1:12" ht="14.4">
      <c r="A65" s="14">
        <v>64</v>
      </c>
      <c r="B65" s="14">
        <v>98</v>
      </c>
      <c r="C65" s="14">
        <v>98</v>
      </c>
      <c r="D65" s="13" t="s">
        <v>111</v>
      </c>
      <c r="E65" s="13">
        <v>0</v>
      </c>
      <c r="F65" s="13">
        <v>0</v>
      </c>
      <c r="G65" s="13">
        <v>0</v>
      </c>
      <c r="H65" s="21">
        <v>0</v>
      </c>
      <c r="I65" s="13" t="s">
        <v>63</v>
      </c>
      <c r="J65" s="13" t="s">
        <v>179</v>
      </c>
      <c r="K65" s="13" t="s">
        <v>11</v>
      </c>
      <c r="L65" s="13"/>
    </row>
    <row r="66" spans="1:12" ht="14.4">
      <c r="A66" s="14">
        <v>65</v>
      </c>
      <c r="B66" s="14">
        <v>99</v>
      </c>
      <c r="C66" s="14">
        <v>99</v>
      </c>
      <c r="D66" s="13" t="s">
        <v>112</v>
      </c>
      <c r="E66" s="13">
        <v>0</v>
      </c>
      <c r="F66" s="13">
        <v>0</v>
      </c>
      <c r="G66" s="13">
        <v>0</v>
      </c>
      <c r="H66" s="21">
        <v>0</v>
      </c>
      <c r="I66" s="13" t="s">
        <v>63</v>
      </c>
      <c r="J66" s="13" t="s">
        <v>180</v>
      </c>
      <c r="K66" s="13" t="s">
        <v>11</v>
      </c>
      <c r="L66" s="13"/>
    </row>
    <row r="67" spans="1:12" ht="14.4">
      <c r="A67" s="14">
        <v>66</v>
      </c>
      <c r="B67" s="14">
        <v>100</v>
      </c>
      <c r="C67" s="14">
        <v>100</v>
      </c>
      <c r="D67" s="13" t="s">
        <v>113</v>
      </c>
      <c r="E67" s="13">
        <v>0</v>
      </c>
      <c r="F67" s="13">
        <v>0</v>
      </c>
      <c r="G67" s="13">
        <v>1</v>
      </c>
      <c r="H67" s="21">
        <v>0</v>
      </c>
      <c r="I67" s="13" t="s">
        <v>63</v>
      </c>
      <c r="J67" s="13" t="s">
        <v>181</v>
      </c>
      <c r="K67" s="13" t="s">
        <v>11</v>
      </c>
      <c r="L67" s="13"/>
    </row>
    <row r="68" spans="1:12" ht="14.4">
      <c r="A68" s="14">
        <v>67</v>
      </c>
      <c r="B68" s="14">
        <v>101</v>
      </c>
      <c r="C68" s="14">
        <v>101</v>
      </c>
      <c r="D68" s="31" t="s">
        <v>182</v>
      </c>
      <c r="E68" s="32"/>
      <c r="F68" s="32"/>
      <c r="G68" s="32"/>
      <c r="I68" s="13" t="s">
        <v>10</v>
      </c>
      <c r="J68" s="13"/>
      <c r="K68" s="13" t="s">
        <v>11</v>
      </c>
      <c r="L68" s="13"/>
    </row>
    <row r="69" spans="1:12" ht="14.4">
      <c r="A69" s="14">
        <v>68</v>
      </c>
      <c r="B69" s="14">
        <v>102</v>
      </c>
      <c r="C69" s="14">
        <v>102</v>
      </c>
      <c r="D69" s="13" t="s">
        <v>183</v>
      </c>
      <c r="E69" s="13">
        <v>0</v>
      </c>
      <c r="F69" s="13">
        <v>1</v>
      </c>
      <c r="G69" s="13">
        <v>1</v>
      </c>
      <c r="H69" s="13">
        <v>1</v>
      </c>
      <c r="I69" s="13" t="s">
        <v>10</v>
      </c>
      <c r="J69" s="13" t="s">
        <v>184</v>
      </c>
      <c r="K69" s="31" t="s">
        <v>185</v>
      </c>
      <c r="L69" s="32"/>
    </row>
    <row r="70" spans="1:12" ht="14.4">
      <c r="A70" s="14">
        <v>69</v>
      </c>
      <c r="B70" s="14">
        <v>103</v>
      </c>
      <c r="C70" s="14">
        <v>103</v>
      </c>
      <c r="D70" s="13" t="s">
        <v>186</v>
      </c>
      <c r="E70" s="13">
        <v>0</v>
      </c>
      <c r="F70" s="13">
        <v>0</v>
      </c>
      <c r="G70" s="13">
        <v>0</v>
      </c>
      <c r="H70" s="13">
        <v>0</v>
      </c>
      <c r="I70" s="13" t="s">
        <v>10</v>
      </c>
      <c r="J70" s="13" t="s">
        <v>187</v>
      </c>
      <c r="K70" s="31" t="s">
        <v>185</v>
      </c>
      <c r="L70" s="32"/>
    </row>
    <row r="71" spans="1:12" ht="14.4">
      <c r="A71" s="14">
        <v>70</v>
      </c>
      <c r="B71" s="14">
        <v>104</v>
      </c>
      <c r="C71" s="14">
        <v>104</v>
      </c>
      <c r="D71" s="13" t="s">
        <v>188</v>
      </c>
      <c r="E71" s="13">
        <v>1</v>
      </c>
      <c r="F71" s="13">
        <v>0</v>
      </c>
      <c r="G71" s="13">
        <v>0</v>
      </c>
      <c r="H71" s="13">
        <v>0</v>
      </c>
      <c r="I71" s="13" t="s">
        <v>10</v>
      </c>
      <c r="J71" s="13" t="s">
        <v>189</v>
      </c>
      <c r="K71" s="31" t="s">
        <v>185</v>
      </c>
      <c r="L71" s="32"/>
    </row>
    <row r="72" spans="1:12" ht="14.4">
      <c r="A72" s="14">
        <v>71</v>
      </c>
      <c r="B72" s="14">
        <v>106</v>
      </c>
      <c r="C72" s="14">
        <v>106</v>
      </c>
      <c r="D72" s="13" t="s">
        <v>191</v>
      </c>
      <c r="E72" s="13">
        <v>1</v>
      </c>
      <c r="F72" s="13">
        <v>0</v>
      </c>
      <c r="G72" s="13">
        <v>0</v>
      </c>
      <c r="H72" s="13">
        <v>1</v>
      </c>
      <c r="I72" s="13" t="s">
        <v>10</v>
      </c>
      <c r="J72" s="13" t="s">
        <v>192</v>
      </c>
      <c r="K72" s="31" t="s">
        <v>185</v>
      </c>
      <c r="L72" s="32"/>
    </row>
    <row r="73" spans="1:12" ht="14.4">
      <c r="A73" s="14">
        <v>72</v>
      </c>
      <c r="B73" s="14">
        <v>107</v>
      </c>
      <c r="C73" s="14">
        <v>107</v>
      </c>
      <c r="D73" s="13" t="s">
        <v>193</v>
      </c>
      <c r="E73" s="13">
        <v>1</v>
      </c>
      <c r="F73" s="13">
        <v>0</v>
      </c>
      <c r="G73" s="13">
        <v>0</v>
      </c>
      <c r="H73" s="13">
        <v>0</v>
      </c>
      <c r="I73" s="13" t="s">
        <v>10</v>
      </c>
      <c r="J73" s="13" t="s">
        <v>194</v>
      </c>
      <c r="K73" s="31" t="s">
        <v>185</v>
      </c>
      <c r="L73" s="32"/>
    </row>
    <row r="74" spans="1:12" ht="14.4">
      <c r="A74" s="14">
        <v>73</v>
      </c>
      <c r="B74" s="14">
        <v>109</v>
      </c>
      <c r="C74" s="14">
        <v>109</v>
      </c>
      <c r="D74" s="13" t="s">
        <v>196</v>
      </c>
      <c r="E74" s="13">
        <v>0</v>
      </c>
      <c r="F74" s="13">
        <v>0</v>
      </c>
      <c r="G74" s="13">
        <v>0</v>
      </c>
      <c r="H74" s="13">
        <v>1</v>
      </c>
      <c r="I74" s="13" t="s">
        <v>10</v>
      </c>
      <c r="J74" s="13" t="s">
        <v>189</v>
      </c>
      <c r="K74" s="31" t="s">
        <v>185</v>
      </c>
      <c r="L74" s="32"/>
    </row>
    <row r="75" spans="1:12" ht="14.4">
      <c r="A75" s="14">
        <v>74</v>
      </c>
      <c r="B75" s="14">
        <v>110</v>
      </c>
      <c r="C75" s="14">
        <v>110</v>
      </c>
      <c r="D75" s="13" t="s">
        <v>197</v>
      </c>
      <c r="E75" s="13">
        <v>0</v>
      </c>
      <c r="F75" s="13">
        <v>1</v>
      </c>
      <c r="G75" s="13">
        <v>0</v>
      </c>
      <c r="H75" s="13">
        <v>1</v>
      </c>
      <c r="I75" s="13" t="s">
        <v>10</v>
      </c>
      <c r="J75" s="13" t="s">
        <v>198</v>
      </c>
      <c r="K75" s="31" t="s">
        <v>185</v>
      </c>
      <c r="L75" s="32"/>
    </row>
    <row r="76" spans="1:12" ht="14.4">
      <c r="A76" s="14">
        <v>75</v>
      </c>
      <c r="B76" s="14">
        <v>111</v>
      </c>
      <c r="C76" s="14">
        <v>111</v>
      </c>
      <c r="D76" s="13" t="s">
        <v>197</v>
      </c>
      <c r="E76" s="13">
        <v>1</v>
      </c>
      <c r="F76" s="13">
        <v>1</v>
      </c>
      <c r="G76" s="13">
        <v>0</v>
      </c>
      <c r="H76" s="13">
        <v>1</v>
      </c>
      <c r="I76" s="13" t="s">
        <v>10</v>
      </c>
      <c r="J76" s="13" t="s">
        <v>199</v>
      </c>
      <c r="K76" s="31" t="s">
        <v>185</v>
      </c>
      <c r="L76" s="32"/>
    </row>
    <row r="77" spans="1:12" ht="14.4">
      <c r="A77" s="14">
        <v>76</v>
      </c>
      <c r="B77" s="14">
        <v>113</v>
      </c>
      <c r="C77" s="14">
        <v>113</v>
      </c>
      <c r="D77" s="13" t="s">
        <v>201</v>
      </c>
      <c r="E77" s="13">
        <v>0</v>
      </c>
      <c r="F77" s="13">
        <v>0</v>
      </c>
      <c r="G77" s="13">
        <v>0</v>
      </c>
      <c r="H77" s="13">
        <v>1</v>
      </c>
      <c r="I77" s="13" t="s">
        <v>10</v>
      </c>
      <c r="J77" s="13" t="s">
        <v>202</v>
      </c>
      <c r="K77" s="31" t="s">
        <v>185</v>
      </c>
      <c r="L77" s="32"/>
    </row>
    <row r="78" spans="1:12" ht="14.4">
      <c r="A78" s="14">
        <v>77</v>
      </c>
      <c r="B78" s="14">
        <v>116</v>
      </c>
      <c r="C78" s="14">
        <v>116</v>
      </c>
      <c r="D78" s="13" t="s">
        <v>205</v>
      </c>
      <c r="E78" s="13">
        <v>1</v>
      </c>
      <c r="F78" s="13">
        <v>0</v>
      </c>
      <c r="G78" s="13">
        <v>0</v>
      </c>
      <c r="H78" s="13">
        <v>0</v>
      </c>
      <c r="I78" s="13" t="s">
        <v>10</v>
      </c>
      <c r="J78" s="13" t="s">
        <v>189</v>
      </c>
      <c r="K78" s="31" t="s">
        <v>185</v>
      </c>
      <c r="L78" s="32"/>
    </row>
    <row r="79" spans="1:12" ht="14.4">
      <c r="A79" s="14">
        <v>78</v>
      </c>
      <c r="B79" s="14">
        <v>117</v>
      </c>
      <c r="C79" s="14">
        <v>117</v>
      </c>
      <c r="D79" s="13" t="s">
        <v>206</v>
      </c>
      <c r="E79" s="13">
        <v>1</v>
      </c>
      <c r="F79" s="13">
        <v>0</v>
      </c>
      <c r="G79" s="13">
        <v>0</v>
      </c>
      <c r="H79" s="13">
        <v>1</v>
      </c>
      <c r="I79" s="13" t="s">
        <v>10</v>
      </c>
      <c r="J79" s="13" t="s">
        <v>202</v>
      </c>
      <c r="K79" s="31" t="s">
        <v>185</v>
      </c>
      <c r="L79" s="32"/>
    </row>
    <row r="80" spans="1:12" ht="14.4">
      <c r="A80" s="14">
        <v>79</v>
      </c>
      <c r="B80" s="14">
        <v>119</v>
      </c>
      <c r="C80" s="14">
        <v>119</v>
      </c>
      <c r="D80" s="13" t="s">
        <v>208</v>
      </c>
      <c r="E80" s="13">
        <v>0</v>
      </c>
      <c r="F80" s="13">
        <v>1</v>
      </c>
      <c r="G80" s="13">
        <v>0</v>
      </c>
      <c r="H80" s="13">
        <v>1</v>
      </c>
      <c r="I80" s="13" t="s">
        <v>10</v>
      </c>
      <c r="J80" s="13" t="s">
        <v>199</v>
      </c>
      <c r="K80" s="31" t="s">
        <v>185</v>
      </c>
      <c r="L80" s="32"/>
    </row>
    <row r="81" spans="1:12" ht="14.4">
      <c r="A81" s="14">
        <v>80</v>
      </c>
      <c r="B81" s="14">
        <v>120</v>
      </c>
      <c r="C81" s="14">
        <v>120</v>
      </c>
      <c r="D81" s="13" t="s">
        <v>209</v>
      </c>
      <c r="E81" s="13">
        <v>1</v>
      </c>
      <c r="F81" s="13">
        <v>0</v>
      </c>
      <c r="G81" s="13">
        <v>0</v>
      </c>
      <c r="H81" s="13">
        <v>0</v>
      </c>
      <c r="I81" s="13" t="s">
        <v>10</v>
      </c>
      <c r="J81" s="13" t="s">
        <v>192</v>
      </c>
      <c r="K81" s="31" t="s">
        <v>185</v>
      </c>
      <c r="L81" s="32"/>
    </row>
    <row r="82" spans="1:12" ht="14.4">
      <c r="A82" s="14">
        <v>81</v>
      </c>
      <c r="B82" s="14">
        <v>122</v>
      </c>
      <c r="C82" s="14">
        <v>122</v>
      </c>
      <c r="D82" s="13" t="s">
        <v>211</v>
      </c>
      <c r="E82" s="13">
        <v>0</v>
      </c>
      <c r="F82" s="13">
        <v>1</v>
      </c>
      <c r="G82" s="13">
        <v>0</v>
      </c>
      <c r="H82" s="13">
        <v>1</v>
      </c>
      <c r="I82" s="13" t="s">
        <v>10</v>
      </c>
      <c r="J82" s="13" t="s">
        <v>202</v>
      </c>
      <c r="K82" s="31" t="s">
        <v>185</v>
      </c>
      <c r="L82" s="32"/>
    </row>
    <row r="83" spans="1:12" ht="14.4">
      <c r="A83" s="14">
        <v>82</v>
      </c>
      <c r="B83" s="14">
        <v>123</v>
      </c>
      <c r="C83" s="14">
        <v>123</v>
      </c>
      <c r="D83" s="13" t="s">
        <v>212</v>
      </c>
      <c r="E83" s="13">
        <v>0</v>
      </c>
      <c r="F83" s="13">
        <v>0</v>
      </c>
      <c r="G83" s="13">
        <v>0</v>
      </c>
      <c r="H83" s="13">
        <v>1</v>
      </c>
      <c r="I83" s="13" t="s">
        <v>10</v>
      </c>
      <c r="J83" s="13" t="s">
        <v>194</v>
      </c>
      <c r="K83" s="31" t="s">
        <v>185</v>
      </c>
      <c r="L83" s="32"/>
    </row>
    <row r="84" spans="1:12" ht="14.4">
      <c r="A84" s="14">
        <v>83</v>
      </c>
      <c r="B84" s="14">
        <v>125</v>
      </c>
      <c r="C84" s="14">
        <v>125</v>
      </c>
      <c r="D84" s="31" t="s">
        <v>214</v>
      </c>
      <c r="E84" s="32"/>
      <c r="F84" s="32"/>
      <c r="G84" s="32"/>
      <c r="H84" s="13">
        <v>0</v>
      </c>
      <c r="I84" s="13" t="s">
        <v>10</v>
      </c>
      <c r="J84" s="13"/>
      <c r="K84" s="31" t="s">
        <v>185</v>
      </c>
      <c r="L84" s="32"/>
    </row>
    <row r="85" spans="1:12" ht="14.4">
      <c r="A85" s="14">
        <v>84</v>
      </c>
      <c r="B85" s="14">
        <v>126</v>
      </c>
      <c r="C85" s="14">
        <v>126</v>
      </c>
      <c r="D85" s="13" t="s">
        <v>215</v>
      </c>
      <c r="E85" s="13">
        <v>1</v>
      </c>
      <c r="F85" s="13">
        <v>1</v>
      </c>
      <c r="G85" s="13">
        <v>0</v>
      </c>
      <c r="H85" s="13">
        <v>1</v>
      </c>
      <c r="I85" s="13" t="s">
        <v>10</v>
      </c>
      <c r="J85" s="13" t="s">
        <v>199</v>
      </c>
      <c r="K85" s="31" t="s">
        <v>185</v>
      </c>
      <c r="L85" s="32"/>
    </row>
    <row r="86" spans="1:12" ht="14.4">
      <c r="A86" s="14">
        <v>85</v>
      </c>
      <c r="B86" s="14">
        <v>128</v>
      </c>
      <c r="C86" s="14">
        <v>128</v>
      </c>
      <c r="D86" s="13" t="s">
        <v>217</v>
      </c>
      <c r="E86" s="13">
        <v>1</v>
      </c>
      <c r="F86" s="13">
        <v>0</v>
      </c>
      <c r="G86" s="13">
        <v>0</v>
      </c>
      <c r="H86" s="13">
        <v>0</v>
      </c>
      <c r="I86" s="13" t="s">
        <v>10</v>
      </c>
      <c r="J86" s="13" t="s">
        <v>202</v>
      </c>
      <c r="K86" s="31" t="s">
        <v>185</v>
      </c>
      <c r="L86" s="32"/>
    </row>
    <row r="87" spans="1:12" ht="14.4">
      <c r="A87" s="14">
        <v>86</v>
      </c>
      <c r="B87" s="14">
        <v>129</v>
      </c>
      <c r="C87" s="14">
        <v>129</v>
      </c>
      <c r="D87" s="13" t="s">
        <v>218</v>
      </c>
      <c r="E87" s="13">
        <v>0</v>
      </c>
      <c r="F87" s="13">
        <v>0</v>
      </c>
      <c r="G87" s="13">
        <v>0</v>
      </c>
      <c r="H87" s="13">
        <v>1</v>
      </c>
      <c r="I87" s="13" t="s">
        <v>10</v>
      </c>
      <c r="J87" s="13" t="s">
        <v>189</v>
      </c>
      <c r="K87" s="31" t="s">
        <v>185</v>
      </c>
      <c r="L87" s="32"/>
    </row>
    <row r="88" spans="1:12" ht="14.4">
      <c r="A88" s="14">
        <v>87</v>
      </c>
      <c r="B88" s="14">
        <v>130</v>
      </c>
      <c r="C88" s="14">
        <v>130</v>
      </c>
      <c r="D88" s="13" t="s">
        <v>219</v>
      </c>
      <c r="E88" s="13">
        <v>1</v>
      </c>
      <c r="F88" s="13">
        <v>1</v>
      </c>
      <c r="G88" s="13">
        <v>0</v>
      </c>
      <c r="H88" s="13">
        <v>1</v>
      </c>
      <c r="I88" s="13" t="s">
        <v>10</v>
      </c>
      <c r="J88" s="13" t="s">
        <v>198</v>
      </c>
      <c r="K88" s="31" t="s">
        <v>185</v>
      </c>
      <c r="L88" s="32"/>
    </row>
    <row r="89" spans="1:12" ht="14.4">
      <c r="A89" s="14">
        <v>88</v>
      </c>
      <c r="B89" s="14">
        <v>131</v>
      </c>
      <c r="C89" s="14">
        <v>131</v>
      </c>
      <c r="D89" s="13" t="s">
        <v>220</v>
      </c>
      <c r="E89" s="13">
        <v>1</v>
      </c>
      <c r="F89" s="13">
        <v>0</v>
      </c>
      <c r="G89" s="13">
        <v>0</v>
      </c>
      <c r="H89" s="13">
        <v>1</v>
      </c>
      <c r="I89" s="13" t="s">
        <v>10</v>
      </c>
      <c r="J89" s="13"/>
      <c r="K89" s="31" t="s">
        <v>185</v>
      </c>
      <c r="L89" s="32"/>
    </row>
    <row r="90" spans="1:12" ht="14.4">
      <c r="A90" s="14">
        <v>89</v>
      </c>
      <c r="B90" s="14">
        <v>132</v>
      </c>
      <c r="C90" s="14">
        <v>132</v>
      </c>
      <c r="D90" s="13" t="s">
        <v>221</v>
      </c>
      <c r="E90" s="13">
        <v>1</v>
      </c>
      <c r="F90" s="13">
        <v>1</v>
      </c>
      <c r="G90" s="13">
        <v>0</v>
      </c>
      <c r="H90" s="13">
        <v>1</v>
      </c>
      <c r="I90" s="13" t="s">
        <v>10</v>
      </c>
      <c r="J90" s="13" t="s">
        <v>222</v>
      </c>
      <c r="K90" s="31" t="s">
        <v>185</v>
      </c>
      <c r="L90" s="32"/>
    </row>
    <row r="91" spans="1:12" ht="14.4">
      <c r="A91" s="14">
        <v>90</v>
      </c>
      <c r="B91" s="14">
        <v>133</v>
      </c>
      <c r="C91" s="14">
        <v>133</v>
      </c>
      <c r="D91" s="13" t="s">
        <v>223</v>
      </c>
      <c r="E91" s="13">
        <v>0</v>
      </c>
      <c r="F91" s="13">
        <v>1</v>
      </c>
      <c r="G91" s="13">
        <v>0</v>
      </c>
      <c r="H91" s="13">
        <v>1</v>
      </c>
      <c r="I91" s="13" t="s">
        <v>10</v>
      </c>
      <c r="J91" s="13" t="s">
        <v>202</v>
      </c>
      <c r="K91" s="31" t="s">
        <v>185</v>
      </c>
      <c r="L91" s="32"/>
    </row>
    <row r="92" spans="1:12" ht="14.4">
      <c r="A92" s="14">
        <v>91</v>
      </c>
      <c r="B92" s="14">
        <v>134</v>
      </c>
      <c r="C92" s="14">
        <v>134</v>
      </c>
      <c r="D92" s="13" t="s">
        <v>224</v>
      </c>
      <c r="E92" s="13">
        <v>1</v>
      </c>
      <c r="F92" s="13">
        <v>1</v>
      </c>
      <c r="G92" s="13">
        <v>1</v>
      </c>
      <c r="H92" s="13">
        <v>1</v>
      </c>
      <c r="I92" s="13" t="s">
        <v>10</v>
      </c>
      <c r="J92" s="13" t="s">
        <v>225</v>
      </c>
      <c r="K92" s="31" t="s">
        <v>185</v>
      </c>
      <c r="L92" s="32"/>
    </row>
    <row r="93" spans="1:12" ht="14.4">
      <c r="A93" s="14">
        <v>92</v>
      </c>
      <c r="B93" s="14">
        <v>135</v>
      </c>
      <c r="C93" s="14">
        <v>135</v>
      </c>
      <c r="D93" s="13" t="s">
        <v>226</v>
      </c>
      <c r="E93" s="13">
        <v>0</v>
      </c>
      <c r="F93" s="13">
        <v>0</v>
      </c>
      <c r="G93" s="13">
        <v>0</v>
      </c>
      <c r="H93" s="13">
        <v>0</v>
      </c>
      <c r="I93" s="13" t="s">
        <v>10</v>
      </c>
      <c r="J93" s="13" t="s">
        <v>189</v>
      </c>
      <c r="K93" s="31" t="s">
        <v>185</v>
      </c>
      <c r="L93" s="32"/>
    </row>
    <row r="94" spans="1:12" ht="14.4">
      <c r="A94" s="14">
        <v>93</v>
      </c>
      <c r="B94" s="14">
        <v>138</v>
      </c>
      <c r="C94" s="14">
        <v>138</v>
      </c>
      <c r="D94" s="13" t="s">
        <v>229</v>
      </c>
      <c r="E94" s="13">
        <v>1</v>
      </c>
      <c r="F94" s="13">
        <v>1</v>
      </c>
      <c r="G94" s="13">
        <v>0</v>
      </c>
      <c r="H94" s="13">
        <v>1</v>
      </c>
      <c r="I94" s="13" t="s">
        <v>10</v>
      </c>
      <c r="J94" s="13" t="s">
        <v>202</v>
      </c>
      <c r="K94" s="31" t="s">
        <v>185</v>
      </c>
      <c r="L94" s="32"/>
    </row>
    <row r="95" spans="1:12" ht="14.4">
      <c r="A95" s="14">
        <v>94</v>
      </c>
      <c r="B95" s="14">
        <v>139</v>
      </c>
      <c r="C95" s="14">
        <v>139</v>
      </c>
      <c r="D95" s="13" t="s">
        <v>230</v>
      </c>
      <c r="E95" s="13">
        <v>1</v>
      </c>
      <c r="F95" s="13">
        <v>0</v>
      </c>
      <c r="G95" s="13">
        <v>0</v>
      </c>
      <c r="H95" s="13">
        <v>0</v>
      </c>
      <c r="I95" s="13" t="s">
        <v>10</v>
      </c>
      <c r="J95" s="13" t="s">
        <v>231</v>
      </c>
      <c r="K95" s="31" t="s">
        <v>185</v>
      </c>
      <c r="L95" s="32"/>
    </row>
    <row r="96" spans="1:12" ht="14.4">
      <c r="A96" s="14">
        <v>95</v>
      </c>
      <c r="B96" s="14">
        <v>140</v>
      </c>
      <c r="C96" s="14">
        <v>140</v>
      </c>
      <c r="D96" s="13" t="s">
        <v>232</v>
      </c>
      <c r="E96" s="13">
        <v>1</v>
      </c>
      <c r="F96" s="13">
        <v>0</v>
      </c>
      <c r="G96" s="13">
        <v>0</v>
      </c>
      <c r="H96" s="13">
        <v>1</v>
      </c>
      <c r="I96" s="13" t="s">
        <v>10</v>
      </c>
      <c r="J96" s="13" t="s">
        <v>233</v>
      </c>
      <c r="K96" s="31" t="s">
        <v>185</v>
      </c>
      <c r="L96" s="32"/>
    </row>
    <row r="97" spans="1:12" ht="14.4">
      <c r="A97" s="14">
        <v>96</v>
      </c>
      <c r="B97" s="14">
        <v>145</v>
      </c>
      <c r="C97" s="14">
        <v>145</v>
      </c>
      <c r="D97" s="13" t="s">
        <v>238</v>
      </c>
      <c r="E97" s="13">
        <v>1</v>
      </c>
      <c r="F97" s="13">
        <v>0</v>
      </c>
      <c r="G97" s="13">
        <v>0</v>
      </c>
      <c r="H97" s="13">
        <v>0</v>
      </c>
      <c r="I97" s="13" t="s">
        <v>10</v>
      </c>
      <c r="J97" s="13" t="s">
        <v>233</v>
      </c>
      <c r="K97" s="31" t="s">
        <v>185</v>
      </c>
      <c r="L97" s="32"/>
    </row>
    <row r="98" spans="1:12" ht="14.4">
      <c r="A98" s="14">
        <v>97</v>
      </c>
      <c r="B98" s="14">
        <v>146</v>
      </c>
      <c r="C98" s="14">
        <v>146</v>
      </c>
      <c r="D98" s="13" t="s">
        <v>239</v>
      </c>
      <c r="E98" s="13">
        <v>0</v>
      </c>
      <c r="F98" s="13">
        <v>0</v>
      </c>
      <c r="G98" s="13">
        <v>0</v>
      </c>
      <c r="H98" s="13">
        <v>1</v>
      </c>
      <c r="I98" s="13" t="s">
        <v>10</v>
      </c>
      <c r="J98" s="13" t="s">
        <v>189</v>
      </c>
      <c r="K98" s="31" t="s">
        <v>185</v>
      </c>
      <c r="L98" s="32"/>
    </row>
    <row r="99" spans="1:12" ht="14.4">
      <c r="A99" s="14">
        <v>98</v>
      </c>
      <c r="B99" s="14">
        <v>147</v>
      </c>
      <c r="C99" s="14">
        <v>147</v>
      </c>
      <c r="D99" s="13" t="s">
        <v>240</v>
      </c>
      <c r="E99" s="13">
        <v>1</v>
      </c>
      <c r="F99" s="13">
        <v>1</v>
      </c>
      <c r="G99" s="13">
        <v>0</v>
      </c>
      <c r="H99" s="13">
        <v>1</v>
      </c>
      <c r="I99" s="13" t="s">
        <v>10</v>
      </c>
      <c r="J99" s="13" t="s">
        <v>198</v>
      </c>
      <c r="K99" s="31" t="s">
        <v>185</v>
      </c>
      <c r="L99" s="32"/>
    </row>
    <row r="100" spans="1:12" ht="14.4">
      <c r="A100" s="14">
        <v>99</v>
      </c>
      <c r="B100" s="14">
        <v>150</v>
      </c>
      <c r="C100" s="14">
        <v>150</v>
      </c>
      <c r="D100" s="13" t="s">
        <v>243</v>
      </c>
      <c r="E100" s="13">
        <v>1</v>
      </c>
      <c r="F100" s="13">
        <v>1</v>
      </c>
      <c r="G100" s="13">
        <v>0</v>
      </c>
      <c r="H100" s="13">
        <v>1</v>
      </c>
      <c r="I100" s="13" t="s">
        <v>10</v>
      </c>
      <c r="J100" s="13" t="s">
        <v>244</v>
      </c>
      <c r="K100" s="31" t="s">
        <v>185</v>
      </c>
      <c r="L100" s="32"/>
    </row>
    <row r="101" spans="1:12" ht="14.4">
      <c r="A101" s="14">
        <v>100</v>
      </c>
      <c r="B101" s="14">
        <v>151</v>
      </c>
      <c r="C101" s="14">
        <v>151</v>
      </c>
      <c r="D101" s="13" t="s">
        <v>245</v>
      </c>
      <c r="E101" s="13">
        <v>0</v>
      </c>
      <c r="F101" s="13">
        <v>1</v>
      </c>
      <c r="G101" s="13">
        <v>0</v>
      </c>
      <c r="H101" s="13">
        <v>1</v>
      </c>
      <c r="I101" s="13" t="s">
        <v>10</v>
      </c>
      <c r="J101" s="13" t="s">
        <v>231</v>
      </c>
      <c r="K101" s="31" t="s">
        <v>185</v>
      </c>
      <c r="L101" s="32"/>
    </row>
    <row r="102" spans="1:12" ht="14.4">
      <c r="A102" s="14">
        <v>101</v>
      </c>
      <c r="B102" s="14">
        <v>152</v>
      </c>
      <c r="C102" s="14">
        <v>152</v>
      </c>
      <c r="D102" s="13" t="s">
        <v>246</v>
      </c>
      <c r="E102" s="13">
        <v>1</v>
      </c>
      <c r="F102" s="13">
        <v>0</v>
      </c>
      <c r="G102" s="13">
        <v>0</v>
      </c>
      <c r="H102" s="13">
        <v>1</v>
      </c>
      <c r="I102" s="13" t="s">
        <v>10</v>
      </c>
      <c r="J102" s="13" t="s">
        <v>247</v>
      </c>
      <c r="K102" s="31" t="s">
        <v>185</v>
      </c>
      <c r="L102" s="32"/>
    </row>
    <row r="103" spans="1:12" ht="14.4">
      <c r="A103" s="14">
        <v>102</v>
      </c>
      <c r="B103" s="14">
        <v>153</v>
      </c>
      <c r="C103" s="14">
        <v>153</v>
      </c>
      <c r="D103" s="13" t="s">
        <v>248</v>
      </c>
      <c r="E103" s="13">
        <v>0</v>
      </c>
      <c r="F103" s="13">
        <v>1</v>
      </c>
      <c r="G103" s="13">
        <v>0</v>
      </c>
      <c r="H103" s="13">
        <v>1</v>
      </c>
      <c r="I103" s="13" t="s">
        <v>10</v>
      </c>
      <c r="J103" s="13" t="s">
        <v>249</v>
      </c>
      <c r="K103" s="31" t="s">
        <v>185</v>
      </c>
      <c r="L103" s="32"/>
    </row>
    <row r="104" spans="1:12" ht="14.4">
      <c r="A104" s="14">
        <v>103</v>
      </c>
      <c r="B104" s="14">
        <v>154</v>
      </c>
      <c r="C104" s="14">
        <v>154</v>
      </c>
      <c r="D104" s="13" t="s">
        <v>250</v>
      </c>
      <c r="E104" s="13">
        <v>1</v>
      </c>
      <c r="F104" s="13">
        <v>1</v>
      </c>
      <c r="G104" s="13">
        <v>1</v>
      </c>
      <c r="H104" s="13">
        <v>0</v>
      </c>
      <c r="I104" s="13" t="s">
        <v>10</v>
      </c>
      <c r="J104" s="13" t="s">
        <v>184</v>
      </c>
      <c r="K104" s="31" t="s">
        <v>185</v>
      </c>
      <c r="L104" s="32"/>
    </row>
    <row r="105" spans="1:12" ht="14.4">
      <c r="A105" s="14">
        <v>104</v>
      </c>
      <c r="B105" s="14">
        <v>155</v>
      </c>
      <c r="C105" s="14">
        <v>155</v>
      </c>
      <c r="D105" s="13" t="s">
        <v>251</v>
      </c>
      <c r="E105" s="13">
        <v>1</v>
      </c>
      <c r="F105" s="13">
        <v>1</v>
      </c>
      <c r="G105" s="13">
        <v>1</v>
      </c>
      <c r="H105" s="13">
        <v>0</v>
      </c>
      <c r="I105" s="13" t="s">
        <v>10</v>
      </c>
      <c r="J105" s="13" t="s">
        <v>252</v>
      </c>
      <c r="K105" s="31" t="s">
        <v>185</v>
      </c>
      <c r="L105" s="32"/>
    </row>
    <row r="106" spans="1:12" ht="14.4">
      <c r="A106" s="14">
        <v>105</v>
      </c>
      <c r="B106" s="14">
        <v>157</v>
      </c>
      <c r="C106" s="14">
        <v>157</v>
      </c>
      <c r="D106" s="13" t="s">
        <v>254</v>
      </c>
      <c r="E106" s="13">
        <v>1</v>
      </c>
      <c r="F106" s="13">
        <v>1</v>
      </c>
      <c r="G106" s="13">
        <v>1</v>
      </c>
      <c r="H106" s="13">
        <v>1</v>
      </c>
      <c r="I106" s="13" t="s">
        <v>10</v>
      </c>
      <c r="J106" s="13" t="s">
        <v>184</v>
      </c>
      <c r="K106" s="31" t="s">
        <v>185</v>
      </c>
      <c r="L106" s="32"/>
    </row>
    <row r="107" spans="1:12" ht="14.4">
      <c r="A107" s="14">
        <v>106</v>
      </c>
      <c r="B107" s="14">
        <v>158</v>
      </c>
      <c r="C107" s="14">
        <v>158</v>
      </c>
      <c r="D107" s="13" t="s">
        <v>255</v>
      </c>
      <c r="E107" s="13">
        <v>1</v>
      </c>
      <c r="F107" s="13">
        <v>0</v>
      </c>
      <c r="G107" s="13">
        <v>0</v>
      </c>
      <c r="H107" s="13">
        <v>0</v>
      </c>
      <c r="I107" s="13" t="s">
        <v>10</v>
      </c>
      <c r="J107" s="13" t="s">
        <v>233</v>
      </c>
      <c r="K107" s="31" t="s">
        <v>185</v>
      </c>
      <c r="L107" s="32"/>
    </row>
    <row r="108" spans="1:12" ht="14.4">
      <c r="A108" s="14">
        <v>107</v>
      </c>
      <c r="B108" s="14">
        <v>159</v>
      </c>
      <c r="C108" s="14">
        <v>159</v>
      </c>
      <c r="D108" s="31" t="s">
        <v>256</v>
      </c>
      <c r="E108" s="32"/>
      <c r="F108" s="32"/>
      <c r="G108" s="32"/>
      <c r="H108" s="13">
        <v>0</v>
      </c>
      <c r="I108" s="13" t="s">
        <v>10</v>
      </c>
      <c r="J108" s="13" t="s">
        <v>257</v>
      </c>
      <c r="K108" s="31" t="s">
        <v>185</v>
      </c>
      <c r="L108" s="32"/>
    </row>
    <row r="109" spans="1:12" ht="14.4">
      <c r="A109" s="14">
        <v>108</v>
      </c>
      <c r="B109" s="14">
        <v>168</v>
      </c>
      <c r="C109" s="14">
        <v>168</v>
      </c>
      <c r="D109" s="13" t="s">
        <v>266</v>
      </c>
      <c r="E109" s="13">
        <v>1</v>
      </c>
      <c r="F109" s="13">
        <v>1</v>
      </c>
      <c r="G109" s="13">
        <v>0</v>
      </c>
      <c r="H109" s="13">
        <v>0</v>
      </c>
      <c r="I109" s="13" t="s">
        <v>10</v>
      </c>
      <c r="J109" s="13" t="s">
        <v>267</v>
      </c>
      <c r="K109" s="31" t="s">
        <v>185</v>
      </c>
      <c r="L109" s="32"/>
    </row>
    <row r="110" spans="1:12" ht="14.4">
      <c r="A110" s="14">
        <v>109</v>
      </c>
      <c r="B110" s="14">
        <v>169</v>
      </c>
      <c r="C110" s="14">
        <v>169</v>
      </c>
      <c r="D110" s="13" t="s">
        <v>268</v>
      </c>
      <c r="E110" s="13">
        <v>1</v>
      </c>
      <c r="F110" s="13">
        <v>1</v>
      </c>
      <c r="G110" s="13">
        <v>0</v>
      </c>
      <c r="H110" s="13">
        <v>0</v>
      </c>
      <c r="I110" s="13" t="s">
        <v>10</v>
      </c>
      <c r="J110" s="13" t="s">
        <v>184</v>
      </c>
      <c r="K110" s="31" t="s">
        <v>185</v>
      </c>
      <c r="L110" s="32"/>
    </row>
    <row r="111" spans="1:12" ht="14.4">
      <c r="A111" s="14">
        <v>110</v>
      </c>
      <c r="B111" s="14">
        <v>171</v>
      </c>
      <c r="C111" s="14">
        <v>171</v>
      </c>
      <c r="D111" s="13" t="s">
        <v>270</v>
      </c>
      <c r="E111" s="13">
        <v>1</v>
      </c>
      <c r="F111" s="13">
        <v>1</v>
      </c>
      <c r="G111" s="13">
        <v>1</v>
      </c>
      <c r="H111" s="13">
        <v>1</v>
      </c>
      <c r="I111" s="13" t="s">
        <v>10</v>
      </c>
      <c r="J111" s="13" t="s">
        <v>267</v>
      </c>
      <c r="K111" s="31" t="s">
        <v>185</v>
      </c>
      <c r="L111" s="32"/>
    </row>
    <row r="112" spans="1:12" ht="14.4">
      <c r="A112" s="14">
        <v>111</v>
      </c>
      <c r="B112" s="14">
        <v>172</v>
      </c>
      <c r="C112" s="14">
        <v>172</v>
      </c>
      <c r="D112" s="13" t="s">
        <v>271</v>
      </c>
      <c r="E112" s="13">
        <v>0</v>
      </c>
      <c r="F112" s="13">
        <v>1</v>
      </c>
      <c r="G112" s="13">
        <v>0</v>
      </c>
      <c r="H112" s="13">
        <v>1</v>
      </c>
      <c r="I112" s="13" t="s">
        <v>10</v>
      </c>
      <c r="J112" s="13" t="s">
        <v>244</v>
      </c>
      <c r="K112" s="31" t="s">
        <v>185</v>
      </c>
      <c r="L112" s="32"/>
    </row>
    <row r="113" spans="1:12" ht="14.4">
      <c r="A113" s="14">
        <v>112</v>
      </c>
      <c r="B113" s="14">
        <v>173</v>
      </c>
      <c r="C113" s="14">
        <v>173</v>
      </c>
      <c r="D113" s="13" t="s">
        <v>272</v>
      </c>
      <c r="E113" s="13">
        <v>1</v>
      </c>
      <c r="F113" s="13">
        <v>1</v>
      </c>
      <c r="G113" s="13">
        <v>0</v>
      </c>
      <c r="H113" s="13">
        <v>0</v>
      </c>
      <c r="I113" s="13" t="s">
        <v>10</v>
      </c>
      <c r="J113" s="13" t="s">
        <v>273</v>
      </c>
      <c r="K113" s="31" t="s">
        <v>185</v>
      </c>
      <c r="L113" s="32"/>
    </row>
    <row r="114" spans="1:12" ht="14.4">
      <c r="A114" s="14">
        <v>113</v>
      </c>
      <c r="B114" s="14">
        <v>175</v>
      </c>
      <c r="C114" s="14">
        <v>175</v>
      </c>
      <c r="D114" s="13" t="s">
        <v>275</v>
      </c>
      <c r="E114" s="13">
        <v>0</v>
      </c>
      <c r="F114" s="13">
        <v>0</v>
      </c>
      <c r="G114" s="13">
        <v>0</v>
      </c>
      <c r="H114" s="13">
        <v>1</v>
      </c>
      <c r="I114" s="13" t="s">
        <v>10</v>
      </c>
      <c r="J114" s="13" t="s">
        <v>187</v>
      </c>
      <c r="K114" s="31" t="s">
        <v>185</v>
      </c>
      <c r="L114" s="32"/>
    </row>
    <row r="115" spans="1:12" ht="14.4">
      <c r="A115" s="14">
        <v>114</v>
      </c>
      <c r="B115" s="14">
        <v>176</v>
      </c>
      <c r="C115" s="14">
        <v>176</v>
      </c>
      <c r="D115" s="13" t="s">
        <v>276</v>
      </c>
      <c r="E115" s="13">
        <v>1</v>
      </c>
      <c r="F115" s="13">
        <v>1</v>
      </c>
      <c r="G115" s="13">
        <v>0</v>
      </c>
      <c r="H115" s="13">
        <v>1</v>
      </c>
      <c r="I115" s="13" t="s">
        <v>10</v>
      </c>
      <c r="J115" s="13" t="s">
        <v>277</v>
      </c>
      <c r="K115" s="31" t="s">
        <v>185</v>
      </c>
      <c r="L115" s="32"/>
    </row>
    <row r="116" spans="1:12" ht="14.4">
      <c r="A116" s="14">
        <v>115</v>
      </c>
      <c r="B116" s="14">
        <v>177</v>
      </c>
      <c r="C116" s="14">
        <v>177</v>
      </c>
      <c r="D116" s="13" t="s">
        <v>278</v>
      </c>
      <c r="E116" s="13">
        <v>1</v>
      </c>
      <c r="F116" s="13">
        <v>1</v>
      </c>
      <c r="G116" s="13">
        <v>1</v>
      </c>
      <c r="H116" s="13">
        <v>1</v>
      </c>
      <c r="I116" s="13" t="s">
        <v>10</v>
      </c>
      <c r="J116" s="13" t="s">
        <v>279</v>
      </c>
      <c r="K116" s="31" t="s">
        <v>185</v>
      </c>
      <c r="L116" s="32"/>
    </row>
    <row r="117" spans="1:12" ht="14.4">
      <c r="A117" s="14">
        <v>116</v>
      </c>
      <c r="B117" s="14">
        <v>178</v>
      </c>
      <c r="C117" s="14">
        <v>178</v>
      </c>
      <c r="D117" s="13" t="s">
        <v>280</v>
      </c>
      <c r="E117" s="13">
        <v>1</v>
      </c>
      <c r="F117" s="13">
        <v>0</v>
      </c>
      <c r="G117" s="13">
        <v>0</v>
      </c>
      <c r="H117" s="13">
        <v>1</v>
      </c>
      <c r="I117" s="13" t="s">
        <v>10</v>
      </c>
      <c r="J117" s="13" t="s">
        <v>281</v>
      </c>
      <c r="K117" s="31" t="s">
        <v>185</v>
      </c>
      <c r="L117" s="32"/>
    </row>
    <row r="118" spans="1:12" ht="14.4">
      <c r="A118" s="14">
        <v>117</v>
      </c>
      <c r="B118" s="14">
        <v>180</v>
      </c>
      <c r="C118" s="14">
        <v>180</v>
      </c>
      <c r="D118" s="13" t="s">
        <v>283</v>
      </c>
      <c r="E118" s="13">
        <v>1</v>
      </c>
      <c r="F118" s="13">
        <v>1</v>
      </c>
      <c r="G118" s="13">
        <v>0</v>
      </c>
      <c r="H118" s="13">
        <v>0</v>
      </c>
      <c r="I118" s="13" t="s">
        <v>10</v>
      </c>
      <c r="J118" s="13" t="s">
        <v>284</v>
      </c>
      <c r="K118" s="31" t="s">
        <v>185</v>
      </c>
      <c r="L118" s="32"/>
    </row>
    <row r="119" spans="1:12" ht="14.4">
      <c r="A119" s="14">
        <v>118</v>
      </c>
      <c r="B119" s="14">
        <v>181</v>
      </c>
      <c r="C119" s="14">
        <v>181</v>
      </c>
      <c r="D119" s="31" t="s">
        <v>285</v>
      </c>
      <c r="E119" s="32"/>
      <c r="F119" s="32"/>
      <c r="G119" s="32"/>
      <c r="H119" s="13">
        <v>0</v>
      </c>
      <c r="I119" s="13" t="s">
        <v>10</v>
      </c>
      <c r="J119" s="13"/>
      <c r="K119" s="31" t="s">
        <v>185</v>
      </c>
      <c r="L119" s="32"/>
    </row>
    <row r="120" spans="1:12" ht="14.4">
      <c r="A120" s="14">
        <v>119</v>
      </c>
      <c r="B120" s="14">
        <v>183</v>
      </c>
      <c r="C120" s="14">
        <v>183</v>
      </c>
      <c r="D120" s="13" t="s">
        <v>287</v>
      </c>
      <c r="E120" s="13">
        <v>1</v>
      </c>
      <c r="F120" s="13">
        <v>1</v>
      </c>
      <c r="G120" s="13">
        <v>0</v>
      </c>
      <c r="H120" s="13">
        <v>0</v>
      </c>
      <c r="I120" s="13" t="s">
        <v>10</v>
      </c>
      <c r="J120" s="13" t="s">
        <v>288</v>
      </c>
      <c r="K120" s="31" t="s">
        <v>185</v>
      </c>
      <c r="L120" s="32"/>
    </row>
    <row r="121" spans="1:12" ht="14.4">
      <c r="A121" s="14">
        <v>120</v>
      </c>
      <c r="B121" s="14">
        <v>184</v>
      </c>
      <c r="C121" s="14">
        <v>184</v>
      </c>
      <c r="D121" s="13" t="s">
        <v>289</v>
      </c>
      <c r="E121" s="13">
        <v>1</v>
      </c>
      <c r="F121" s="13">
        <v>1</v>
      </c>
      <c r="G121" s="13">
        <v>0</v>
      </c>
      <c r="H121" s="13">
        <v>1</v>
      </c>
      <c r="I121" s="13" t="s">
        <v>10</v>
      </c>
      <c r="J121" s="13" t="s">
        <v>290</v>
      </c>
      <c r="K121" s="31" t="s">
        <v>185</v>
      </c>
      <c r="L121" s="32"/>
    </row>
    <row r="122" spans="1:12" ht="14.4">
      <c r="A122" s="14">
        <v>121</v>
      </c>
      <c r="B122" s="14">
        <v>185</v>
      </c>
      <c r="C122" s="14">
        <v>185</v>
      </c>
      <c r="D122" s="13" t="s">
        <v>291</v>
      </c>
      <c r="E122" s="13">
        <v>1</v>
      </c>
      <c r="F122" s="13">
        <v>0</v>
      </c>
      <c r="G122" s="13">
        <v>0</v>
      </c>
      <c r="H122" s="13">
        <v>0</v>
      </c>
      <c r="I122" s="13" t="s">
        <v>10</v>
      </c>
      <c r="J122" s="13" t="s">
        <v>292</v>
      </c>
      <c r="K122" s="31" t="s">
        <v>185</v>
      </c>
      <c r="L122" s="32"/>
    </row>
    <row r="123" spans="1:12" ht="14.4">
      <c r="A123" s="14">
        <v>122</v>
      </c>
      <c r="B123" s="14">
        <v>186</v>
      </c>
      <c r="C123" s="14">
        <v>186</v>
      </c>
      <c r="D123" s="13" t="s">
        <v>293</v>
      </c>
      <c r="E123" s="13">
        <v>1</v>
      </c>
      <c r="F123" s="13">
        <v>0</v>
      </c>
      <c r="G123" s="13">
        <v>0</v>
      </c>
      <c r="H123" s="13">
        <v>0</v>
      </c>
      <c r="I123" s="13" t="s">
        <v>10</v>
      </c>
      <c r="J123" s="13" t="s">
        <v>199</v>
      </c>
      <c r="K123" s="31" t="s">
        <v>185</v>
      </c>
      <c r="L123" s="32"/>
    </row>
    <row r="124" spans="1:12" ht="14.4">
      <c r="A124" s="14">
        <v>123</v>
      </c>
      <c r="B124" s="14">
        <v>188</v>
      </c>
      <c r="C124" s="14">
        <v>188</v>
      </c>
      <c r="D124" s="13" t="s">
        <v>295</v>
      </c>
      <c r="E124" s="13">
        <v>0</v>
      </c>
      <c r="F124" s="13">
        <v>1</v>
      </c>
      <c r="G124" s="13">
        <v>0</v>
      </c>
      <c r="H124" s="13">
        <v>0</v>
      </c>
      <c r="I124" s="13" t="s">
        <v>10</v>
      </c>
      <c r="J124" s="13" t="s">
        <v>194</v>
      </c>
      <c r="K124" s="31" t="s">
        <v>185</v>
      </c>
      <c r="L124" s="32"/>
    </row>
    <row r="125" spans="1:12" ht="14.4">
      <c r="A125" s="14">
        <v>124</v>
      </c>
      <c r="B125" s="14">
        <v>190</v>
      </c>
      <c r="C125" s="14">
        <v>190</v>
      </c>
      <c r="D125" s="31" t="s">
        <v>297</v>
      </c>
      <c r="E125" s="32"/>
      <c r="F125" s="32"/>
      <c r="G125" s="32"/>
      <c r="H125" s="13">
        <v>0</v>
      </c>
      <c r="I125" s="13" t="s">
        <v>10</v>
      </c>
      <c r="J125" s="13"/>
      <c r="K125" s="31" t="s">
        <v>185</v>
      </c>
      <c r="L125" s="32"/>
    </row>
    <row r="126" spans="1:12" ht="14.4">
      <c r="A126" s="14">
        <v>125</v>
      </c>
      <c r="B126" s="14">
        <v>191</v>
      </c>
      <c r="C126" s="14">
        <v>191</v>
      </c>
      <c r="D126" s="13" t="s">
        <v>298</v>
      </c>
      <c r="E126" s="13">
        <v>1</v>
      </c>
      <c r="F126" s="13">
        <v>1</v>
      </c>
      <c r="G126" s="13">
        <v>1</v>
      </c>
      <c r="H126" s="13">
        <v>1</v>
      </c>
      <c r="I126" s="13" t="s">
        <v>10</v>
      </c>
      <c r="J126" s="13" t="s">
        <v>198</v>
      </c>
      <c r="K126" s="31" t="s">
        <v>185</v>
      </c>
      <c r="L126" s="32"/>
    </row>
    <row r="127" spans="1:12" ht="14.4">
      <c r="A127" s="14">
        <v>126</v>
      </c>
      <c r="B127" s="14">
        <v>192</v>
      </c>
      <c r="C127" s="14">
        <v>192</v>
      </c>
      <c r="D127" s="13" t="s">
        <v>299</v>
      </c>
      <c r="E127" s="13">
        <v>1</v>
      </c>
      <c r="F127" s="13">
        <v>1</v>
      </c>
      <c r="G127" s="13">
        <v>1</v>
      </c>
      <c r="H127" s="13">
        <v>1</v>
      </c>
      <c r="I127" s="13" t="s">
        <v>10</v>
      </c>
      <c r="J127" s="13" t="s">
        <v>300</v>
      </c>
      <c r="K127" s="31" t="s">
        <v>185</v>
      </c>
      <c r="L127" s="32"/>
    </row>
    <row r="128" spans="1:12" ht="14.4">
      <c r="A128" s="14">
        <v>127</v>
      </c>
      <c r="B128" s="14">
        <v>194</v>
      </c>
      <c r="C128" s="14">
        <v>194</v>
      </c>
      <c r="D128" s="13" t="s">
        <v>302</v>
      </c>
      <c r="E128" s="13">
        <v>0</v>
      </c>
      <c r="F128" s="13">
        <v>1</v>
      </c>
      <c r="G128" s="13">
        <v>0</v>
      </c>
      <c r="H128" s="13">
        <v>1</v>
      </c>
      <c r="I128" s="13" t="s">
        <v>10</v>
      </c>
      <c r="J128" s="13" t="s">
        <v>194</v>
      </c>
      <c r="K128" s="31" t="s">
        <v>185</v>
      </c>
      <c r="L128" s="32"/>
    </row>
    <row r="129" spans="1:12" ht="14.4">
      <c r="A129" s="14">
        <v>128</v>
      </c>
      <c r="B129" s="14">
        <v>196</v>
      </c>
      <c r="C129" s="14">
        <v>196</v>
      </c>
      <c r="D129" s="13" t="s">
        <v>21</v>
      </c>
      <c r="E129" s="13">
        <v>1</v>
      </c>
      <c r="F129" s="13">
        <v>1</v>
      </c>
      <c r="G129" s="13">
        <v>0</v>
      </c>
      <c r="H129" s="13">
        <v>1</v>
      </c>
      <c r="I129" s="13" t="s">
        <v>10</v>
      </c>
      <c r="J129" s="13" t="s">
        <v>222</v>
      </c>
      <c r="K129" s="31" t="s">
        <v>185</v>
      </c>
      <c r="L129" s="32"/>
    </row>
    <row r="130" spans="1:12" ht="14.4">
      <c r="A130" s="14">
        <v>129</v>
      </c>
      <c r="B130" s="14">
        <v>199</v>
      </c>
      <c r="C130" s="14">
        <v>199</v>
      </c>
      <c r="D130" s="13" t="s">
        <v>306</v>
      </c>
      <c r="E130" s="13">
        <v>0</v>
      </c>
      <c r="F130" s="13">
        <v>0</v>
      </c>
      <c r="G130" s="13">
        <v>0</v>
      </c>
      <c r="H130" s="13">
        <v>0</v>
      </c>
      <c r="I130" s="13" t="s">
        <v>10</v>
      </c>
      <c r="J130" s="13" t="s">
        <v>307</v>
      </c>
      <c r="K130" s="31" t="s">
        <v>185</v>
      </c>
      <c r="L130" s="32"/>
    </row>
    <row r="131" spans="1:12" ht="14.4">
      <c r="A131" s="14">
        <v>130</v>
      </c>
      <c r="B131" s="14">
        <v>200</v>
      </c>
      <c r="C131" s="14">
        <v>200</v>
      </c>
      <c r="D131" s="13" t="s">
        <v>308</v>
      </c>
      <c r="E131" s="13">
        <v>0</v>
      </c>
      <c r="F131" s="13">
        <v>0</v>
      </c>
      <c r="G131" s="13">
        <v>0</v>
      </c>
      <c r="H131" s="13">
        <v>0</v>
      </c>
      <c r="I131" s="13" t="s">
        <v>10</v>
      </c>
      <c r="J131" s="13" t="s">
        <v>189</v>
      </c>
      <c r="K131" s="31" t="s">
        <v>185</v>
      </c>
      <c r="L131" s="32"/>
    </row>
    <row r="132" spans="1:12" ht="14.4">
      <c r="A132" s="14">
        <v>131</v>
      </c>
      <c r="B132" s="14">
        <v>201</v>
      </c>
      <c r="C132" s="14">
        <v>201</v>
      </c>
      <c r="D132" s="13" t="s">
        <v>309</v>
      </c>
      <c r="E132" s="13">
        <v>0</v>
      </c>
      <c r="F132" s="13">
        <v>1</v>
      </c>
      <c r="G132" s="13">
        <v>0</v>
      </c>
      <c r="H132" s="13">
        <v>1</v>
      </c>
      <c r="I132" s="13" t="s">
        <v>10</v>
      </c>
      <c r="J132" s="13" t="s">
        <v>307</v>
      </c>
      <c r="K132" s="31" t="s">
        <v>185</v>
      </c>
      <c r="L132" s="32"/>
    </row>
    <row r="133" spans="1:12" ht="14.4">
      <c r="A133" s="14">
        <v>132</v>
      </c>
      <c r="B133" s="14">
        <v>202</v>
      </c>
      <c r="C133" s="14">
        <v>202</v>
      </c>
      <c r="D133" s="13" t="s">
        <v>310</v>
      </c>
      <c r="E133" s="13">
        <v>0</v>
      </c>
      <c r="F133" s="13">
        <v>1</v>
      </c>
      <c r="G133" s="13">
        <v>1</v>
      </c>
      <c r="H133" s="21">
        <v>1</v>
      </c>
      <c r="I133" s="13" t="s">
        <v>10</v>
      </c>
      <c r="J133" s="13" t="s">
        <v>311</v>
      </c>
      <c r="K133" s="31" t="s">
        <v>185</v>
      </c>
      <c r="L133" s="32"/>
    </row>
    <row r="134" spans="1:12" ht="14.4">
      <c r="A134" s="14">
        <v>133</v>
      </c>
      <c r="B134" s="14">
        <v>203</v>
      </c>
      <c r="C134" s="14">
        <v>203</v>
      </c>
      <c r="D134" s="13" t="s">
        <v>312</v>
      </c>
      <c r="E134" s="13">
        <v>1</v>
      </c>
      <c r="F134" s="13">
        <v>0</v>
      </c>
      <c r="G134" s="13">
        <v>1</v>
      </c>
      <c r="H134" s="21">
        <v>0</v>
      </c>
      <c r="I134" s="13" t="s">
        <v>10</v>
      </c>
      <c r="J134" s="13" t="s">
        <v>313</v>
      </c>
      <c r="K134" s="31" t="s">
        <v>185</v>
      </c>
      <c r="L134" s="32"/>
    </row>
    <row r="135" spans="1:12" ht="14.4">
      <c r="A135" s="14">
        <v>134</v>
      </c>
      <c r="B135" s="14">
        <v>204</v>
      </c>
      <c r="C135" s="14">
        <v>204</v>
      </c>
      <c r="D135" s="13" t="s">
        <v>314</v>
      </c>
      <c r="E135" s="13">
        <v>1</v>
      </c>
      <c r="F135" s="13">
        <v>1</v>
      </c>
      <c r="G135" s="13">
        <v>1</v>
      </c>
      <c r="H135" s="21">
        <v>0</v>
      </c>
      <c r="I135" s="13" t="s">
        <v>10</v>
      </c>
      <c r="J135" s="13" t="s">
        <v>315</v>
      </c>
      <c r="K135" s="31" t="s">
        <v>185</v>
      </c>
      <c r="L135" s="32"/>
    </row>
    <row r="136" spans="1:12" ht="14.4">
      <c r="A136" s="14">
        <v>135</v>
      </c>
      <c r="B136" s="14">
        <v>205</v>
      </c>
      <c r="C136" s="14">
        <v>205</v>
      </c>
      <c r="D136" s="13" t="s">
        <v>316</v>
      </c>
      <c r="E136" s="13">
        <v>0</v>
      </c>
      <c r="F136" s="13">
        <v>0</v>
      </c>
      <c r="G136" s="13">
        <v>1</v>
      </c>
      <c r="H136" s="21">
        <v>1</v>
      </c>
      <c r="I136" s="13" t="s">
        <v>10</v>
      </c>
      <c r="J136" s="13" t="s">
        <v>317</v>
      </c>
      <c r="K136" s="31" t="s">
        <v>185</v>
      </c>
      <c r="L136" s="32"/>
    </row>
    <row r="137" spans="1:12" ht="14.4">
      <c r="A137" s="14">
        <v>136</v>
      </c>
      <c r="B137" s="14">
        <v>206</v>
      </c>
      <c r="C137" s="14">
        <v>206</v>
      </c>
      <c r="D137" s="13" t="s">
        <v>318</v>
      </c>
      <c r="E137" s="13">
        <v>1</v>
      </c>
      <c r="F137" s="13">
        <v>0</v>
      </c>
      <c r="G137" s="13">
        <v>1</v>
      </c>
      <c r="H137" s="21">
        <v>1</v>
      </c>
      <c r="I137" s="13" t="s">
        <v>10</v>
      </c>
      <c r="J137" s="13" t="s">
        <v>319</v>
      </c>
      <c r="K137" s="31" t="s">
        <v>185</v>
      </c>
      <c r="L137" s="32"/>
    </row>
    <row r="138" spans="1:12" ht="14.4">
      <c r="A138" s="14">
        <v>137</v>
      </c>
      <c r="B138" s="14">
        <v>207</v>
      </c>
      <c r="C138" s="14">
        <v>207</v>
      </c>
      <c r="D138" s="13" t="s">
        <v>320</v>
      </c>
      <c r="E138" s="13">
        <v>0</v>
      </c>
      <c r="F138" s="13">
        <v>0</v>
      </c>
      <c r="G138" s="13">
        <v>1</v>
      </c>
      <c r="H138" s="21">
        <v>1</v>
      </c>
      <c r="I138" s="13" t="s">
        <v>10</v>
      </c>
      <c r="J138" s="13" t="s">
        <v>321</v>
      </c>
      <c r="K138" s="31" t="s">
        <v>185</v>
      </c>
      <c r="L138" s="32"/>
    </row>
    <row r="139" spans="1:12" ht="14.4">
      <c r="A139" s="14">
        <v>138</v>
      </c>
      <c r="B139" s="14">
        <v>208</v>
      </c>
      <c r="C139" s="14">
        <v>208</v>
      </c>
      <c r="D139" s="13" t="s">
        <v>322</v>
      </c>
      <c r="E139" s="13">
        <v>0</v>
      </c>
      <c r="F139" s="13">
        <v>0</v>
      </c>
      <c r="G139" s="13">
        <v>1</v>
      </c>
      <c r="H139" s="21">
        <v>0</v>
      </c>
      <c r="I139" s="13" t="s">
        <v>10</v>
      </c>
      <c r="J139" s="13" t="s">
        <v>323</v>
      </c>
      <c r="K139" s="31" t="s">
        <v>185</v>
      </c>
      <c r="L139" s="32"/>
    </row>
    <row r="140" spans="1:12" ht="14.4">
      <c r="A140" s="14">
        <v>139</v>
      </c>
      <c r="B140" s="14">
        <v>210</v>
      </c>
      <c r="C140" s="14">
        <v>210</v>
      </c>
      <c r="D140" s="13" t="s">
        <v>325</v>
      </c>
      <c r="E140" s="13">
        <v>0</v>
      </c>
      <c r="F140" s="13">
        <v>0</v>
      </c>
      <c r="G140" s="13">
        <v>1</v>
      </c>
      <c r="H140" s="21">
        <v>1</v>
      </c>
      <c r="I140" s="13" t="s">
        <v>10</v>
      </c>
      <c r="J140" s="13" t="s">
        <v>326</v>
      </c>
      <c r="K140" s="31" t="s">
        <v>185</v>
      </c>
      <c r="L140" s="32"/>
    </row>
    <row r="141" spans="1:12" ht="14.4">
      <c r="A141" s="14">
        <v>140</v>
      </c>
      <c r="B141" s="14">
        <v>211</v>
      </c>
      <c r="C141" s="14">
        <v>211</v>
      </c>
      <c r="D141" s="13" t="s">
        <v>327</v>
      </c>
      <c r="E141" s="13">
        <v>0</v>
      </c>
      <c r="F141" s="13">
        <v>0</v>
      </c>
      <c r="G141" s="13">
        <v>1</v>
      </c>
      <c r="H141" s="21">
        <v>1</v>
      </c>
      <c r="I141" s="13" t="s">
        <v>10</v>
      </c>
      <c r="J141" s="13" t="s">
        <v>328</v>
      </c>
      <c r="K141" s="31" t="s">
        <v>185</v>
      </c>
      <c r="L141" s="32"/>
    </row>
    <row r="142" spans="1:12" ht="14.4">
      <c r="A142" s="14">
        <v>141</v>
      </c>
      <c r="B142" s="14">
        <v>212</v>
      </c>
      <c r="C142" s="14">
        <v>212</v>
      </c>
      <c r="D142" s="13" t="s">
        <v>329</v>
      </c>
      <c r="E142" s="13">
        <v>0</v>
      </c>
      <c r="F142" s="13">
        <v>1</v>
      </c>
      <c r="G142" s="13">
        <v>1</v>
      </c>
      <c r="H142" s="21">
        <v>1</v>
      </c>
      <c r="I142" s="13" t="s">
        <v>10</v>
      </c>
      <c r="J142" s="13" t="s">
        <v>330</v>
      </c>
      <c r="K142" s="31" t="s">
        <v>185</v>
      </c>
      <c r="L142" s="32"/>
    </row>
    <row r="143" spans="1:12" ht="14.4">
      <c r="A143" s="14">
        <v>142</v>
      </c>
      <c r="B143" s="14">
        <v>214</v>
      </c>
      <c r="C143" s="14">
        <v>214</v>
      </c>
      <c r="D143" s="13" t="s">
        <v>332</v>
      </c>
      <c r="E143" s="13">
        <v>0</v>
      </c>
      <c r="F143" s="13">
        <v>0</v>
      </c>
      <c r="G143" s="13">
        <v>1</v>
      </c>
      <c r="H143" s="21">
        <v>1</v>
      </c>
      <c r="I143" s="13" t="s">
        <v>10</v>
      </c>
      <c r="J143" s="13" t="s">
        <v>333</v>
      </c>
      <c r="K143" s="31" t="s">
        <v>185</v>
      </c>
      <c r="L143" s="32"/>
    </row>
    <row r="144" spans="1:12" ht="14.4">
      <c r="A144" s="14">
        <v>143</v>
      </c>
      <c r="B144" s="14">
        <v>215</v>
      </c>
      <c r="C144" s="14">
        <v>215</v>
      </c>
      <c r="D144" s="13" t="s">
        <v>334</v>
      </c>
      <c r="E144" s="13">
        <v>1</v>
      </c>
      <c r="F144" s="13">
        <v>0</v>
      </c>
      <c r="G144" s="13">
        <v>1</v>
      </c>
      <c r="H144" s="21">
        <v>0</v>
      </c>
      <c r="I144" s="13" t="s">
        <v>10</v>
      </c>
      <c r="J144" s="13" t="s">
        <v>335</v>
      </c>
      <c r="K144" s="31" t="s">
        <v>185</v>
      </c>
      <c r="L144" s="32"/>
    </row>
    <row r="145" spans="1:12" ht="14.4">
      <c r="A145" s="14">
        <v>144</v>
      </c>
      <c r="B145" s="14">
        <v>217</v>
      </c>
      <c r="C145" s="14">
        <v>217</v>
      </c>
      <c r="D145" s="13" t="s">
        <v>337</v>
      </c>
      <c r="E145" s="13">
        <v>1</v>
      </c>
      <c r="F145" s="13">
        <v>1</v>
      </c>
      <c r="G145" s="13">
        <v>1</v>
      </c>
      <c r="H145" s="21">
        <v>1</v>
      </c>
      <c r="I145" s="13" t="s">
        <v>10</v>
      </c>
      <c r="J145" s="13" t="s">
        <v>338</v>
      </c>
      <c r="K145" s="31" t="s">
        <v>185</v>
      </c>
      <c r="L145" s="32"/>
    </row>
    <row r="146" spans="1:12" ht="14.4">
      <c r="A146" s="14">
        <v>145</v>
      </c>
      <c r="B146" s="14">
        <v>218</v>
      </c>
      <c r="C146" s="14">
        <v>218</v>
      </c>
      <c r="D146" s="13" t="s">
        <v>339</v>
      </c>
      <c r="E146" s="13">
        <v>1</v>
      </c>
      <c r="F146" s="13">
        <v>0</v>
      </c>
      <c r="G146" s="13">
        <v>0</v>
      </c>
      <c r="H146" s="21">
        <v>0</v>
      </c>
      <c r="I146" s="13" t="s">
        <v>10</v>
      </c>
      <c r="J146" s="13" t="s">
        <v>340</v>
      </c>
      <c r="K146" s="31" t="s">
        <v>185</v>
      </c>
      <c r="L146" s="32"/>
    </row>
    <row r="147" spans="1:12" ht="14.4">
      <c r="A147" s="14">
        <v>146</v>
      </c>
      <c r="B147" s="14">
        <v>219</v>
      </c>
      <c r="C147" s="14">
        <v>219</v>
      </c>
      <c r="D147" s="13" t="s">
        <v>341</v>
      </c>
      <c r="E147" s="13">
        <v>0</v>
      </c>
      <c r="F147" s="13">
        <v>0</v>
      </c>
      <c r="G147" s="13">
        <v>0</v>
      </c>
      <c r="H147" s="21">
        <v>0</v>
      </c>
      <c r="I147" s="13" t="s">
        <v>10</v>
      </c>
      <c r="J147" s="13"/>
      <c r="K147" s="31" t="s">
        <v>185</v>
      </c>
      <c r="L147" s="32"/>
    </row>
    <row r="148" spans="1:12" ht="14.4">
      <c r="A148" s="14">
        <v>147</v>
      </c>
      <c r="B148" s="14">
        <v>220</v>
      </c>
      <c r="C148" s="14">
        <v>220</v>
      </c>
      <c r="D148" s="13" t="s">
        <v>342</v>
      </c>
      <c r="E148" s="13">
        <v>0</v>
      </c>
      <c r="F148" s="13">
        <v>0</v>
      </c>
      <c r="G148" s="13">
        <v>0</v>
      </c>
      <c r="H148" s="21">
        <v>1</v>
      </c>
      <c r="I148" s="13" t="s">
        <v>10</v>
      </c>
      <c r="J148" s="13" t="s">
        <v>343</v>
      </c>
      <c r="K148" s="31" t="s">
        <v>185</v>
      </c>
      <c r="L148" s="32"/>
    </row>
    <row r="149" spans="1:12" ht="14.4">
      <c r="A149" s="14">
        <v>148</v>
      </c>
      <c r="B149" s="14">
        <v>221</v>
      </c>
      <c r="C149" s="14">
        <v>221</v>
      </c>
      <c r="D149" s="13" t="s">
        <v>344</v>
      </c>
      <c r="E149" s="13">
        <v>0</v>
      </c>
      <c r="F149" s="13">
        <v>1</v>
      </c>
      <c r="G149" s="13">
        <v>0</v>
      </c>
      <c r="H149" s="21">
        <v>0</v>
      </c>
      <c r="I149" s="13" t="s">
        <v>10</v>
      </c>
      <c r="J149" s="13" t="s">
        <v>345</v>
      </c>
      <c r="K149" s="31" t="s">
        <v>185</v>
      </c>
      <c r="L149" s="32"/>
    </row>
    <row r="150" spans="1:12" ht="14.4">
      <c r="A150" s="14">
        <v>149</v>
      </c>
      <c r="B150" s="14">
        <v>222</v>
      </c>
      <c r="C150" s="14">
        <v>222</v>
      </c>
      <c r="D150" s="13" t="s">
        <v>346</v>
      </c>
      <c r="E150" s="13">
        <v>0</v>
      </c>
      <c r="F150" s="13">
        <v>0</v>
      </c>
      <c r="G150" s="13">
        <v>0</v>
      </c>
      <c r="H150" s="21">
        <v>1</v>
      </c>
      <c r="I150" s="13" t="s">
        <v>10</v>
      </c>
      <c r="J150" s="13" t="s">
        <v>347</v>
      </c>
      <c r="K150" s="31" t="s">
        <v>185</v>
      </c>
      <c r="L150" s="32"/>
    </row>
    <row r="151" spans="1:12" ht="14.4">
      <c r="A151" s="14">
        <v>150</v>
      </c>
      <c r="B151" s="14">
        <v>224</v>
      </c>
      <c r="C151" s="14">
        <v>224</v>
      </c>
      <c r="D151" s="13" t="s">
        <v>349</v>
      </c>
      <c r="E151" s="13">
        <v>1</v>
      </c>
      <c r="F151" s="13">
        <v>0</v>
      </c>
      <c r="G151" s="13">
        <v>0</v>
      </c>
      <c r="H151" s="21">
        <v>1</v>
      </c>
      <c r="I151" s="13" t="s">
        <v>10</v>
      </c>
      <c r="J151" s="13" t="s">
        <v>350</v>
      </c>
      <c r="K151" s="31" t="s">
        <v>185</v>
      </c>
      <c r="L151" s="32"/>
    </row>
    <row r="152" spans="1:12" ht="14.4">
      <c r="A152" s="14">
        <v>151</v>
      </c>
      <c r="B152" s="14">
        <v>225</v>
      </c>
      <c r="C152" s="14">
        <v>225</v>
      </c>
      <c r="D152" s="13" t="s">
        <v>351</v>
      </c>
      <c r="E152" s="13">
        <v>0</v>
      </c>
      <c r="F152" s="13">
        <v>1</v>
      </c>
      <c r="G152" s="13">
        <v>0</v>
      </c>
      <c r="H152" s="21">
        <v>1</v>
      </c>
      <c r="I152" s="13" t="s">
        <v>10</v>
      </c>
      <c r="J152" s="13" t="s">
        <v>352</v>
      </c>
      <c r="K152" s="31" t="s">
        <v>185</v>
      </c>
      <c r="L152" s="32"/>
    </row>
    <row r="153" spans="1:12" ht="14.4">
      <c r="A153" s="14">
        <v>152</v>
      </c>
      <c r="B153" s="14">
        <v>226</v>
      </c>
      <c r="C153" s="14">
        <v>226</v>
      </c>
      <c r="D153" s="13" t="s">
        <v>353</v>
      </c>
      <c r="E153" s="13">
        <v>1</v>
      </c>
      <c r="F153" s="13">
        <v>1</v>
      </c>
      <c r="G153" s="13">
        <v>0</v>
      </c>
      <c r="H153" s="21">
        <v>1</v>
      </c>
      <c r="I153" s="13" t="s">
        <v>10</v>
      </c>
      <c r="J153" s="13" t="s">
        <v>347</v>
      </c>
      <c r="K153" s="31" t="s">
        <v>185</v>
      </c>
      <c r="L153" s="32"/>
    </row>
    <row r="154" spans="1:12" ht="14.4">
      <c r="A154" s="14">
        <v>153</v>
      </c>
      <c r="B154" s="14">
        <v>228</v>
      </c>
      <c r="C154" s="14">
        <v>228</v>
      </c>
      <c r="D154" s="13" t="s">
        <v>355</v>
      </c>
      <c r="E154" s="13">
        <v>1</v>
      </c>
      <c r="F154" s="13">
        <v>0</v>
      </c>
      <c r="G154" s="13">
        <v>0</v>
      </c>
      <c r="H154" s="21">
        <v>0</v>
      </c>
      <c r="I154" s="13" t="s">
        <v>10</v>
      </c>
      <c r="J154" s="13" t="s">
        <v>356</v>
      </c>
      <c r="K154" s="31" t="s">
        <v>185</v>
      </c>
      <c r="L154" s="32"/>
    </row>
    <row r="155" spans="1:12" ht="14.4">
      <c r="A155" s="14">
        <v>154</v>
      </c>
      <c r="B155" s="14">
        <v>229</v>
      </c>
      <c r="C155" s="14">
        <v>229</v>
      </c>
      <c r="D155" s="13" t="s">
        <v>357</v>
      </c>
      <c r="E155" s="13">
        <v>1</v>
      </c>
      <c r="F155" s="13">
        <v>0</v>
      </c>
      <c r="G155" s="13">
        <v>0</v>
      </c>
      <c r="H155" s="21">
        <v>0</v>
      </c>
      <c r="I155" s="13" t="s">
        <v>10</v>
      </c>
      <c r="J155" s="13" t="s">
        <v>358</v>
      </c>
      <c r="K155" s="31" t="s">
        <v>185</v>
      </c>
      <c r="L155" s="32"/>
    </row>
    <row r="156" spans="1:12" ht="14.4">
      <c r="A156" s="14">
        <v>155</v>
      </c>
      <c r="B156" s="14">
        <v>231</v>
      </c>
      <c r="C156" s="14">
        <v>231</v>
      </c>
      <c r="D156" s="13" t="s">
        <v>360</v>
      </c>
      <c r="E156" s="13">
        <v>0</v>
      </c>
      <c r="F156" s="13">
        <v>0</v>
      </c>
      <c r="G156" s="13">
        <v>0</v>
      </c>
      <c r="H156" s="21">
        <v>1</v>
      </c>
      <c r="I156" s="13" t="s">
        <v>10</v>
      </c>
      <c r="J156" s="13" t="s">
        <v>361</v>
      </c>
      <c r="K156" s="31" t="s">
        <v>185</v>
      </c>
      <c r="L156" s="32"/>
    </row>
    <row r="157" spans="1:12" ht="14.4">
      <c r="A157" s="14">
        <v>156</v>
      </c>
      <c r="B157" s="14">
        <v>233</v>
      </c>
      <c r="C157" s="14">
        <v>233</v>
      </c>
      <c r="D157" s="13" t="s">
        <v>363</v>
      </c>
      <c r="E157" s="13">
        <v>1</v>
      </c>
      <c r="F157" s="13">
        <v>1</v>
      </c>
      <c r="G157" s="13">
        <v>1</v>
      </c>
      <c r="H157" s="21">
        <v>1</v>
      </c>
      <c r="I157" s="13" t="s">
        <v>10</v>
      </c>
      <c r="J157" s="13" t="s">
        <v>364</v>
      </c>
      <c r="K157" s="31" t="s">
        <v>185</v>
      </c>
      <c r="L157" s="32"/>
    </row>
    <row r="158" spans="1:12" ht="14.4">
      <c r="A158" s="14">
        <v>157</v>
      </c>
      <c r="B158" s="14">
        <v>234</v>
      </c>
      <c r="C158" s="14">
        <v>234</v>
      </c>
      <c r="D158" s="13" t="s">
        <v>365</v>
      </c>
      <c r="E158" s="13">
        <v>1</v>
      </c>
      <c r="F158" s="13">
        <v>1</v>
      </c>
      <c r="G158" s="13">
        <v>1</v>
      </c>
      <c r="H158" s="21">
        <v>0</v>
      </c>
      <c r="I158" s="13" t="s">
        <v>10</v>
      </c>
      <c r="J158" s="13" t="s">
        <v>366</v>
      </c>
      <c r="K158" s="31" t="s">
        <v>185</v>
      </c>
      <c r="L158" s="32"/>
    </row>
    <row r="159" spans="1:12" ht="14.4">
      <c r="A159" s="14">
        <v>158</v>
      </c>
      <c r="B159" s="14">
        <v>235</v>
      </c>
      <c r="C159" s="14">
        <v>235</v>
      </c>
      <c r="D159" s="13" t="s">
        <v>367</v>
      </c>
      <c r="E159" s="13">
        <v>1</v>
      </c>
      <c r="F159" s="13">
        <v>0</v>
      </c>
      <c r="G159" s="13">
        <v>0</v>
      </c>
      <c r="H159" s="21">
        <v>0</v>
      </c>
      <c r="I159" s="13" t="s">
        <v>10</v>
      </c>
      <c r="J159" s="13" t="s">
        <v>368</v>
      </c>
      <c r="K159" s="31" t="s">
        <v>185</v>
      </c>
      <c r="L159" s="32"/>
    </row>
    <row r="160" spans="1:12" ht="14.4">
      <c r="A160" s="14">
        <v>159</v>
      </c>
      <c r="B160" s="14">
        <v>237</v>
      </c>
      <c r="C160" s="14">
        <v>237</v>
      </c>
      <c r="D160" s="13" t="s">
        <v>370</v>
      </c>
      <c r="E160" s="13">
        <v>0</v>
      </c>
      <c r="F160" s="13">
        <v>1</v>
      </c>
      <c r="G160" s="13">
        <v>0</v>
      </c>
      <c r="H160" s="21">
        <v>0</v>
      </c>
      <c r="I160" s="13" t="s">
        <v>10</v>
      </c>
      <c r="J160" s="13" t="s">
        <v>371</v>
      </c>
      <c r="K160" s="31" t="s">
        <v>185</v>
      </c>
      <c r="L160" s="32"/>
    </row>
    <row r="161" spans="1:12" ht="14.4">
      <c r="A161" s="14">
        <v>160</v>
      </c>
      <c r="B161" s="14">
        <v>240</v>
      </c>
      <c r="C161" s="14">
        <v>240</v>
      </c>
      <c r="D161" s="13" t="s">
        <v>374</v>
      </c>
      <c r="E161" s="13">
        <v>1</v>
      </c>
      <c r="F161" s="13">
        <v>0</v>
      </c>
      <c r="G161" s="13">
        <v>0</v>
      </c>
      <c r="H161" s="21">
        <v>0</v>
      </c>
      <c r="I161" s="13" t="s">
        <v>10</v>
      </c>
      <c r="J161" s="13" t="s">
        <v>375</v>
      </c>
      <c r="K161" s="31" t="s">
        <v>185</v>
      </c>
      <c r="L161" s="32"/>
    </row>
    <row r="162" spans="1:12" ht="14.4">
      <c r="A162" s="14">
        <v>161</v>
      </c>
      <c r="B162" s="14">
        <v>241</v>
      </c>
      <c r="C162" s="14">
        <v>241</v>
      </c>
      <c r="D162" s="13" t="s">
        <v>376</v>
      </c>
      <c r="E162" s="13">
        <v>0</v>
      </c>
      <c r="F162" s="13">
        <v>1</v>
      </c>
      <c r="G162" s="13">
        <v>1</v>
      </c>
      <c r="H162" s="21">
        <v>1</v>
      </c>
      <c r="I162" s="13" t="s">
        <v>10</v>
      </c>
      <c r="J162" s="13" t="s">
        <v>377</v>
      </c>
      <c r="K162" s="31" t="s">
        <v>185</v>
      </c>
      <c r="L162" s="32"/>
    </row>
    <row r="163" spans="1:12" ht="14.4">
      <c r="A163" s="14">
        <v>162</v>
      </c>
      <c r="B163" s="14">
        <v>243</v>
      </c>
      <c r="C163" s="14">
        <v>243</v>
      </c>
      <c r="D163" s="13" t="s">
        <v>379</v>
      </c>
      <c r="E163" s="13">
        <v>1</v>
      </c>
      <c r="F163" s="13">
        <v>1</v>
      </c>
      <c r="G163" s="13">
        <v>1</v>
      </c>
      <c r="H163" s="21">
        <v>1</v>
      </c>
      <c r="I163" s="13" t="s">
        <v>10</v>
      </c>
      <c r="J163" s="13" t="s">
        <v>380</v>
      </c>
      <c r="K163" s="31" t="s">
        <v>185</v>
      </c>
      <c r="L163" s="32"/>
    </row>
    <row r="164" spans="1:12" ht="14.4">
      <c r="A164" s="14">
        <v>163</v>
      </c>
      <c r="B164" s="14">
        <v>244</v>
      </c>
      <c r="C164" s="14">
        <v>244</v>
      </c>
      <c r="D164" s="13" t="s">
        <v>381</v>
      </c>
      <c r="E164" s="13">
        <v>1</v>
      </c>
      <c r="F164" s="13">
        <v>0</v>
      </c>
      <c r="G164" s="13">
        <v>1</v>
      </c>
      <c r="H164" s="21">
        <v>1</v>
      </c>
      <c r="I164" s="13" t="s">
        <v>10</v>
      </c>
      <c r="J164" s="13" t="s">
        <v>382</v>
      </c>
      <c r="K164" s="31" t="s">
        <v>185</v>
      </c>
      <c r="L164" s="32"/>
    </row>
    <row r="165" spans="1:12" ht="14.4">
      <c r="A165" s="14">
        <v>164</v>
      </c>
      <c r="B165" s="14">
        <v>246</v>
      </c>
      <c r="C165" s="14">
        <v>246</v>
      </c>
      <c r="D165" s="13" t="s">
        <v>384</v>
      </c>
      <c r="E165" s="13">
        <v>1</v>
      </c>
      <c r="F165" s="13">
        <v>1</v>
      </c>
      <c r="G165" s="13">
        <v>0</v>
      </c>
      <c r="H165" s="21">
        <v>0</v>
      </c>
      <c r="I165" s="13" t="s">
        <v>10</v>
      </c>
      <c r="J165" s="13" t="s">
        <v>385</v>
      </c>
      <c r="K165" s="31" t="s">
        <v>185</v>
      </c>
      <c r="L165" s="32"/>
    </row>
    <row r="166" spans="1:12" ht="14.4">
      <c r="A166" s="14">
        <v>165</v>
      </c>
      <c r="B166" s="14">
        <v>248</v>
      </c>
      <c r="C166" s="14">
        <v>248</v>
      </c>
      <c r="D166" s="13" t="s">
        <v>387</v>
      </c>
      <c r="E166" s="13">
        <v>1</v>
      </c>
      <c r="F166" s="13">
        <v>1</v>
      </c>
      <c r="G166" s="13">
        <v>0</v>
      </c>
      <c r="H166" s="21">
        <v>0</v>
      </c>
      <c r="I166" s="13" t="s">
        <v>10</v>
      </c>
      <c r="J166" s="13" t="s">
        <v>388</v>
      </c>
      <c r="K166" s="31" t="s">
        <v>185</v>
      </c>
      <c r="L166" s="32"/>
    </row>
    <row r="167" spans="1:12" ht="14.4">
      <c r="A167" s="14">
        <v>166</v>
      </c>
      <c r="B167" s="14">
        <v>249</v>
      </c>
      <c r="C167" s="14">
        <v>249</v>
      </c>
      <c r="D167" s="13" t="s">
        <v>389</v>
      </c>
      <c r="E167" s="13">
        <v>1</v>
      </c>
      <c r="F167" s="13">
        <v>0</v>
      </c>
      <c r="G167" s="13">
        <v>0</v>
      </c>
      <c r="H167" s="21">
        <v>0</v>
      </c>
      <c r="I167" s="13" t="s">
        <v>10</v>
      </c>
      <c r="J167" s="13" t="s">
        <v>390</v>
      </c>
      <c r="K167" s="31" t="s">
        <v>185</v>
      </c>
      <c r="L167" s="32"/>
    </row>
    <row r="168" spans="1:12" ht="14.4">
      <c r="A168" s="14">
        <v>167</v>
      </c>
      <c r="B168" s="14">
        <v>252</v>
      </c>
      <c r="C168" s="14">
        <v>252</v>
      </c>
      <c r="D168" s="13" t="s">
        <v>393</v>
      </c>
      <c r="E168" s="13">
        <v>1</v>
      </c>
      <c r="F168" s="13">
        <v>0</v>
      </c>
      <c r="G168" s="13">
        <v>0</v>
      </c>
      <c r="H168" s="21">
        <v>1</v>
      </c>
      <c r="I168" s="13" t="s">
        <v>10</v>
      </c>
      <c r="J168" s="13" t="s">
        <v>394</v>
      </c>
      <c r="K168" s="31" t="s">
        <v>185</v>
      </c>
      <c r="L168" s="32"/>
    </row>
    <row r="169" spans="1:12" ht="14.4">
      <c r="A169" s="14">
        <v>168</v>
      </c>
      <c r="B169" s="14">
        <v>253</v>
      </c>
      <c r="C169" s="14">
        <v>253</v>
      </c>
      <c r="D169" s="13" t="s">
        <v>395</v>
      </c>
      <c r="E169" s="13">
        <v>1</v>
      </c>
      <c r="F169" s="13">
        <v>0</v>
      </c>
      <c r="G169" s="13">
        <v>0</v>
      </c>
      <c r="H169" s="21">
        <v>1</v>
      </c>
      <c r="I169" s="13" t="s">
        <v>10</v>
      </c>
      <c r="J169" s="13" t="s">
        <v>396</v>
      </c>
      <c r="K169" s="31" t="s">
        <v>185</v>
      </c>
      <c r="L169" s="32"/>
    </row>
    <row r="170" spans="1:12" ht="14.4">
      <c r="A170" s="14">
        <v>169</v>
      </c>
      <c r="B170" s="14">
        <v>256</v>
      </c>
      <c r="C170" s="14">
        <v>256</v>
      </c>
      <c r="D170" s="13" t="s">
        <v>399</v>
      </c>
      <c r="E170" s="13">
        <v>1</v>
      </c>
      <c r="F170" s="13">
        <v>1</v>
      </c>
      <c r="G170" s="13">
        <v>1</v>
      </c>
      <c r="H170" s="21">
        <v>1</v>
      </c>
      <c r="I170" s="13" t="s">
        <v>10</v>
      </c>
      <c r="J170" s="13" t="s">
        <v>400</v>
      </c>
      <c r="K170" s="31" t="s">
        <v>185</v>
      </c>
      <c r="L170" s="32"/>
    </row>
    <row r="171" spans="1:12" ht="14.4">
      <c r="A171" s="14">
        <v>170</v>
      </c>
      <c r="B171" s="14">
        <v>257</v>
      </c>
      <c r="C171" s="14">
        <v>257</v>
      </c>
      <c r="D171" s="13" t="s">
        <v>401</v>
      </c>
      <c r="E171" s="13">
        <v>0</v>
      </c>
      <c r="F171" s="13">
        <v>1</v>
      </c>
      <c r="G171" s="13">
        <v>1</v>
      </c>
      <c r="H171" s="21">
        <v>0</v>
      </c>
      <c r="I171" s="13" t="s">
        <v>10</v>
      </c>
      <c r="J171" s="13" t="s">
        <v>402</v>
      </c>
      <c r="K171" s="31" t="s">
        <v>185</v>
      </c>
      <c r="L171" s="32"/>
    </row>
    <row r="172" spans="1:12" ht="14.4">
      <c r="A172" s="14">
        <v>171</v>
      </c>
      <c r="B172" s="14">
        <v>258</v>
      </c>
      <c r="C172" s="14">
        <v>258</v>
      </c>
      <c r="D172" s="13" t="s">
        <v>403</v>
      </c>
      <c r="E172" s="13">
        <v>0</v>
      </c>
      <c r="F172" s="13">
        <v>0</v>
      </c>
      <c r="G172" s="13">
        <v>0</v>
      </c>
      <c r="H172" s="21">
        <v>1</v>
      </c>
      <c r="I172" s="13" t="s">
        <v>10</v>
      </c>
      <c r="J172" s="13" t="s">
        <v>404</v>
      </c>
      <c r="K172" s="31" t="s">
        <v>185</v>
      </c>
      <c r="L172" s="32"/>
    </row>
    <row r="173" spans="1:12" ht="14.4">
      <c r="A173" s="14">
        <v>172</v>
      </c>
      <c r="B173" s="14">
        <v>259</v>
      </c>
      <c r="C173" s="14">
        <v>259</v>
      </c>
      <c r="D173" s="13" t="s">
        <v>405</v>
      </c>
      <c r="E173" s="13">
        <v>0</v>
      </c>
      <c r="F173" s="13">
        <v>1</v>
      </c>
      <c r="G173" s="13">
        <v>0</v>
      </c>
      <c r="H173" s="21">
        <v>1</v>
      </c>
      <c r="I173" s="13" t="s">
        <v>10</v>
      </c>
      <c r="J173" s="13" t="s">
        <v>406</v>
      </c>
      <c r="K173" s="31" t="s">
        <v>185</v>
      </c>
      <c r="L173" s="32"/>
    </row>
    <row r="174" spans="1:12" ht="14.4">
      <c r="A174" s="14">
        <v>173</v>
      </c>
      <c r="B174" s="14">
        <v>264</v>
      </c>
      <c r="C174" s="14">
        <v>264</v>
      </c>
      <c r="D174" s="13" t="s">
        <v>411</v>
      </c>
      <c r="E174" s="13">
        <v>0</v>
      </c>
      <c r="F174" s="13">
        <v>1</v>
      </c>
      <c r="G174" s="13">
        <v>0</v>
      </c>
      <c r="H174" s="21">
        <v>1</v>
      </c>
      <c r="I174" s="13" t="s">
        <v>10</v>
      </c>
      <c r="J174" s="13" t="s">
        <v>412</v>
      </c>
      <c r="K174" s="31" t="s">
        <v>185</v>
      </c>
      <c r="L174" s="32"/>
    </row>
    <row r="175" spans="1:12" ht="14.4">
      <c r="A175" s="14">
        <v>174</v>
      </c>
      <c r="B175" s="14">
        <v>267</v>
      </c>
      <c r="C175" s="14">
        <v>267</v>
      </c>
      <c r="D175" s="13" t="s">
        <v>415</v>
      </c>
      <c r="E175" s="13">
        <v>0</v>
      </c>
      <c r="F175" s="13">
        <v>1</v>
      </c>
      <c r="G175" s="13">
        <v>0</v>
      </c>
      <c r="H175" s="21">
        <v>0</v>
      </c>
      <c r="I175" s="13" t="s">
        <v>10</v>
      </c>
      <c r="J175" s="13" t="s">
        <v>416</v>
      </c>
      <c r="K175" s="31" t="s">
        <v>185</v>
      </c>
      <c r="L175" s="32"/>
    </row>
    <row r="176" spans="1:12" ht="14.4">
      <c r="A176" s="14">
        <v>175</v>
      </c>
      <c r="B176" s="14">
        <v>268</v>
      </c>
      <c r="C176" s="14">
        <v>268</v>
      </c>
      <c r="D176" s="13" t="s">
        <v>417</v>
      </c>
      <c r="E176" s="13">
        <v>1</v>
      </c>
      <c r="F176" s="13">
        <v>0</v>
      </c>
      <c r="G176" s="13">
        <v>0</v>
      </c>
      <c r="H176" s="21">
        <v>1</v>
      </c>
      <c r="I176" s="13" t="s">
        <v>10</v>
      </c>
      <c r="J176" s="13" t="s">
        <v>418</v>
      </c>
      <c r="K176" s="31" t="s">
        <v>185</v>
      </c>
      <c r="L176" s="32"/>
    </row>
    <row r="177" spans="1:12" ht="14.4">
      <c r="A177" s="14">
        <v>176</v>
      </c>
      <c r="B177" s="14">
        <v>269</v>
      </c>
      <c r="C177" s="14">
        <v>269</v>
      </c>
      <c r="D177" s="13" t="s">
        <v>419</v>
      </c>
      <c r="E177" s="13">
        <v>0</v>
      </c>
      <c r="F177" s="13">
        <v>1</v>
      </c>
      <c r="G177" s="13">
        <v>0</v>
      </c>
      <c r="H177" s="21">
        <v>0</v>
      </c>
      <c r="I177" s="13" t="s">
        <v>10</v>
      </c>
      <c r="J177" s="13" t="s">
        <v>420</v>
      </c>
      <c r="K177" s="31" t="s">
        <v>185</v>
      </c>
      <c r="L177" s="32"/>
    </row>
    <row r="178" spans="1:12" ht="14.4">
      <c r="A178" s="14">
        <v>177</v>
      </c>
      <c r="B178" s="14">
        <v>270</v>
      </c>
      <c r="C178" s="14">
        <v>270</v>
      </c>
      <c r="D178" s="13" t="s">
        <v>421</v>
      </c>
      <c r="E178" s="13">
        <v>0</v>
      </c>
      <c r="F178" s="13">
        <v>0</v>
      </c>
      <c r="G178" s="13">
        <v>0</v>
      </c>
      <c r="H178" s="21">
        <v>1</v>
      </c>
      <c r="I178" s="13" t="s">
        <v>10</v>
      </c>
      <c r="J178" s="13" t="s">
        <v>422</v>
      </c>
      <c r="K178" s="31" t="s">
        <v>185</v>
      </c>
      <c r="L178" s="32"/>
    </row>
    <row r="179" spans="1:12" ht="14.4">
      <c r="A179" s="14"/>
      <c r="B179" s="14"/>
      <c r="C179" s="14">
        <v>272</v>
      </c>
      <c r="D179" s="13" t="s">
        <v>424</v>
      </c>
      <c r="E179" s="13"/>
      <c r="F179" s="13"/>
      <c r="G179" s="13"/>
      <c r="H179" s="21"/>
      <c r="I179" s="13"/>
      <c r="J179" s="13"/>
      <c r="K179" s="13"/>
    </row>
    <row r="180" spans="1:12" ht="14.4">
      <c r="A180" s="14">
        <v>178</v>
      </c>
      <c r="B180" s="14">
        <v>273</v>
      </c>
      <c r="C180" s="14">
        <v>273</v>
      </c>
      <c r="D180" s="13" t="s">
        <v>425</v>
      </c>
      <c r="E180" s="13">
        <v>0</v>
      </c>
      <c r="F180" s="13">
        <v>1</v>
      </c>
      <c r="G180" s="13">
        <v>0</v>
      </c>
      <c r="H180" s="21">
        <v>1</v>
      </c>
      <c r="I180" s="13" t="s">
        <v>426</v>
      </c>
      <c r="J180" s="13" t="s">
        <v>427</v>
      </c>
      <c r="K180" s="31" t="s">
        <v>185</v>
      </c>
      <c r="L180" s="32"/>
    </row>
    <row r="181" spans="1:12" ht="14.4">
      <c r="A181" s="14">
        <v>179</v>
      </c>
      <c r="B181" s="14">
        <v>274</v>
      </c>
      <c r="C181" s="14">
        <v>274</v>
      </c>
      <c r="D181" s="13" t="s">
        <v>428</v>
      </c>
      <c r="E181" s="13">
        <v>1</v>
      </c>
      <c r="F181" s="13">
        <v>0</v>
      </c>
      <c r="G181" s="13">
        <v>1</v>
      </c>
      <c r="H181" s="21">
        <v>1</v>
      </c>
      <c r="I181" s="13" t="s">
        <v>10</v>
      </c>
      <c r="J181" s="13" t="s">
        <v>429</v>
      </c>
      <c r="K181" s="31" t="s">
        <v>185</v>
      </c>
      <c r="L181" s="32"/>
    </row>
    <row r="182" spans="1:12" ht="14.4">
      <c r="A182" s="14">
        <v>180</v>
      </c>
      <c r="B182" s="14">
        <v>275</v>
      </c>
      <c r="C182" s="14">
        <v>275</v>
      </c>
      <c r="D182" s="13" t="s">
        <v>430</v>
      </c>
      <c r="E182" s="13">
        <v>1</v>
      </c>
      <c r="F182" s="13">
        <v>1</v>
      </c>
      <c r="G182" s="13">
        <v>0</v>
      </c>
      <c r="H182" s="21">
        <v>1</v>
      </c>
      <c r="I182" s="13" t="s">
        <v>10</v>
      </c>
      <c r="J182" s="13" t="s">
        <v>431</v>
      </c>
      <c r="K182" s="31" t="s">
        <v>185</v>
      </c>
      <c r="L182" s="32"/>
    </row>
    <row r="183" spans="1:12" ht="14.4">
      <c r="A183" s="14">
        <v>181</v>
      </c>
      <c r="B183" s="14">
        <v>277</v>
      </c>
      <c r="C183" s="14">
        <v>277</v>
      </c>
      <c r="D183" s="13" t="s">
        <v>433</v>
      </c>
      <c r="E183" s="13">
        <v>1</v>
      </c>
      <c r="F183" s="13">
        <v>1</v>
      </c>
      <c r="G183" s="13">
        <v>1</v>
      </c>
      <c r="H183" s="21">
        <v>0</v>
      </c>
      <c r="I183" s="13" t="s">
        <v>10</v>
      </c>
      <c r="J183" s="13" t="s">
        <v>434</v>
      </c>
      <c r="K183" s="31" t="s">
        <v>185</v>
      </c>
      <c r="L183" s="32"/>
    </row>
    <row r="184" spans="1:12" ht="14.4">
      <c r="A184" s="14">
        <v>182</v>
      </c>
      <c r="B184" s="14">
        <v>278</v>
      </c>
      <c r="C184" s="14">
        <v>278</v>
      </c>
      <c r="D184" s="13" t="s">
        <v>435</v>
      </c>
      <c r="E184" s="13">
        <v>1</v>
      </c>
      <c r="F184" s="13">
        <v>0</v>
      </c>
      <c r="G184" s="13">
        <v>0</v>
      </c>
      <c r="H184" s="21">
        <v>0</v>
      </c>
      <c r="I184" s="13" t="s">
        <v>10</v>
      </c>
      <c r="J184" s="13" t="s">
        <v>436</v>
      </c>
      <c r="K184" s="31" t="s">
        <v>185</v>
      </c>
      <c r="L184" s="32"/>
    </row>
    <row r="185" spans="1:12" ht="14.4">
      <c r="A185" s="14">
        <v>183</v>
      </c>
      <c r="B185" s="14">
        <v>280</v>
      </c>
      <c r="C185" s="14">
        <v>280</v>
      </c>
      <c r="D185" s="13" t="s">
        <v>438</v>
      </c>
      <c r="E185" s="13">
        <v>0</v>
      </c>
      <c r="F185" s="13">
        <v>0</v>
      </c>
      <c r="G185" s="13">
        <v>0</v>
      </c>
      <c r="H185" s="21">
        <v>1</v>
      </c>
      <c r="I185" s="13" t="s">
        <v>10</v>
      </c>
      <c r="J185" s="13" t="s">
        <v>439</v>
      </c>
      <c r="K185" s="31" t="s">
        <v>185</v>
      </c>
      <c r="L185" s="32"/>
    </row>
    <row r="186" spans="1:12" ht="14.4">
      <c r="A186" s="14">
        <v>184</v>
      </c>
      <c r="B186" s="14">
        <v>281</v>
      </c>
      <c r="C186" s="14">
        <v>281</v>
      </c>
      <c r="D186" s="13" t="s">
        <v>440</v>
      </c>
      <c r="E186" s="13">
        <v>1</v>
      </c>
      <c r="F186" s="13">
        <v>0</v>
      </c>
      <c r="G186" s="13">
        <v>0</v>
      </c>
      <c r="H186" s="21">
        <v>0</v>
      </c>
      <c r="I186" s="13" t="s">
        <v>10</v>
      </c>
      <c r="J186" s="13" t="s">
        <v>441</v>
      </c>
      <c r="K186" s="31" t="s">
        <v>185</v>
      </c>
      <c r="L186" s="32"/>
    </row>
    <row r="187" spans="1:12" ht="14.4">
      <c r="A187" s="14">
        <v>185</v>
      </c>
      <c r="B187" s="14">
        <v>282</v>
      </c>
      <c r="C187" s="14">
        <v>282</v>
      </c>
      <c r="D187" s="13" t="s">
        <v>442</v>
      </c>
      <c r="E187" s="13">
        <v>0</v>
      </c>
      <c r="F187" s="13">
        <v>1</v>
      </c>
      <c r="G187" s="13">
        <v>0</v>
      </c>
      <c r="H187" s="21">
        <v>0</v>
      </c>
      <c r="I187" s="13" t="s">
        <v>10</v>
      </c>
      <c r="J187" s="13" t="s">
        <v>443</v>
      </c>
      <c r="K187" s="31" t="s">
        <v>185</v>
      </c>
      <c r="L187" s="32"/>
    </row>
    <row r="188" spans="1:12" ht="14.4">
      <c r="A188" s="14">
        <v>186</v>
      </c>
      <c r="B188" s="14">
        <v>283</v>
      </c>
      <c r="C188" s="14">
        <v>283</v>
      </c>
      <c r="D188" s="13" t="s">
        <v>21</v>
      </c>
      <c r="E188" s="13">
        <v>1</v>
      </c>
      <c r="F188" s="13">
        <v>1</v>
      </c>
      <c r="G188" s="13">
        <v>0</v>
      </c>
      <c r="H188" s="21">
        <v>0</v>
      </c>
      <c r="I188" s="13" t="s">
        <v>63</v>
      </c>
      <c r="J188" s="13" t="s">
        <v>444</v>
      </c>
      <c r="K188" s="13" t="s">
        <v>445</v>
      </c>
      <c r="L188" s="13"/>
    </row>
    <row r="189" spans="1:12" ht="14.4">
      <c r="A189" s="14">
        <v>187</v>
      </c>
      <c r="B189" s="14">
        <v>284</v>
      </c>
      <c r="C189" s="14">
        <v>284</v>
      </c>
      <c r="D189" s="13" t="s">
        <v>349</v>
      </c>
      <c r="E189" s="13">
        <v>1</v>
      </c>
      <c r="F189" s="13">
        <v>0</v>
      </c>
      <c r="G189" s="13" t="s">
        <v>446</v>
      </c>
      <c r="H189" s="21">
        <v>1</v>
      </c>
      <c r="I189" s="13" t="s">
        <v>63</v>
      </c>
      <c r="J189" s="13" t="s">
        <v>447</v>
      </c>
      <c r="K189" s="13" t="s">
        <v>445</v>
      </c>
      <c r="L189" s="13"/>
    </row>
    <row r="190" spans="1:12" ht="14.4">
      <c r="A190" s="14">
        <v>188</v>
      </c>
      <c r="B190" s="14">
        <v>287</v>
      </c>
      <c r="C190" s="14">
        <v>287</v>
      </c>
      <c r="D190" s="13" t="s">
        <v>448</v>
      </c>
      <c r="E190" s="13">
        <v>1</v>
      </c>
      <c r="F190" s="13">
        <v>1</v>
      </c>
      <c r="G190" s="13">
        <v>0</v>
      </c>
      <c r="H190" s="13">
        <v>0</v>
      </c>
      <c r="I190" s="13" t="s">
        <v>63</v>
      </c>
      <c r="J190" s="13" t="s">
        <v>449</v>
      </c>
      <c r="K190" s="13" t="s">
        <v>445</v>
      </c>
      <c r="L190" s="13"/>
    </row>
    <row r="191" spans="1:12" ht="14.4">
      <c r="A191" s="14">
        <v>189</v>
      </c>
      <c r="B191" s="14">
        <v>290</v>
      </c>
      <c r="C191" s="14">
        <v>290</v>
      </c>
      <c r="D191" s="13" t="s">
        <v>376</v>
      </c>
      <c r="E191" s="13">
        <v>0</v>
      </c>
      <c r="F191" s="13">
        <v>1</v>
      </c>
      <c r="G191" s="13">
        <v>1</v>
      </c>
      <c r="H191" s="13">
        <v>0</v>
      </c>
      <c r="I191" s="13" t="s">
        <v>63</v>
      </c>
      <c r="J191" s="13" t="s">
        <v>450</v>
      </c>
      <c r="K191" s="13" t="s">
        <v>445</v>
      </c>
      <c r="L191" s="13"/>
    </row>
    <row r="192" spans="1:12" ht="14.4">
      <c r="A192" s="14">
        <v>190</v>
      </c>
      <c r="B192" s="14">
        <v>291</v>
      </c>
      <c r="C192" s="14">
        <v>291</v>
      </c>
      <c r="D192" s="13" t="s">
        <v>451</v>
      </c>
      <c r="E192" s="13">
        <v>0</v>
      </c>
      <c r="F192" s="13">
        <v>0</v>
      </c>
      <c r="G192" s="13">
        <v>0</v>
      </c>
      <c r="H192" s="13">
        <v>0</v>
      </c>
      <c r="I192" s="13" t="s">
        <v>63</v>
      </c>
      <c r="J192" s="13" t="s">
        <v>452</v>
      </c>
      <c r="K192" s="13" t="s">
        <v>445</v>
      </c>
      <c r="L192" s="13"/>
    </row>
    <row r="193" spans="1:12" ht="14.4">
      <c r="A193" s="14">
        <v>191</v>
      </c>
      <c r="B193" s="14">
        <v>292</v>
      </c>
      <c r="C193" s="14">
        <v>292</v>
      </c>
      <c r="D193" s="13" t="s">
        <v>453</v>
      </c>
      <c r="E193" s="13">
        <v>1</v>
      </c>
      <c r="F193" s="13">
        <v>1</v>
      </c>
      <c r="G193" s="13">
        <v>1</v>
      </c>
      <c r="H193" s="13">
        <v>1</v>
      </c>
      <c r="I193" s="13" t="s">
        <v>63</v>
      </c>
      <c r="J193" s="13" t="s">
        <v>454</v>
      </c>
      <c r="K193" s="13" t="s">
        <v>455</v>
      </c>
      <c r="L193" s="13"/>
    </row>
    <row r="194" spans="1:12" ht="14.4">
      <c r="A194" s="14">
        <v>192</v>
      </c>
      <c r="B194" s="14">
        <v>293</v>
      </c>
      <c r="C194" s="14">
        <v>293</v>
      </c>
      <c r="D194" s="13" t="s">
        <v>456</v>
      </c>
      <c r="E194" s="13">
        <v>0</v>
      </c>
      <c r="F194" s="13">
        <v>0</v>
      </c>
      <c r="G194" s="13">
        <v>0</v>
      </c>
      <c r="H194" s="13">
        <v>0</v>
      </c>
      <c r="I194" s="13" t="s">
        <v>63</v>
      </c>
      <c r="J194" s="13" t="s">
        <v>457</v>
      </c>
      <c r="K194" s="13" t="s">
        <v>455</v>
      </c>
      <c r="L194" s="13"/>
    </row>
    <row r="195" spans="1:12" ht="14.4">
      <c r="A195" s="14">
        <v>193</v>
      </c>
      <c r="B195" s="14">
        <v>294</v>
      </c>
      <c r="C195" s="14">
        <v>294</v>
      </c>
      <c r="D195" s="13" t="s">
        <v>458</v>
      </c>
      <c r="E195" s="13">
        <v>0</v>
      </c>
      <c r="F195" s="13">
        <v>0</v>
      </c>
      <c r="G195" s="13">
        <v>0</v>
      </c>
      <c r="H195" s="13">
        <v>0</v>
      </c>
      <c r="I195" s="13" t="s">
        <v>63</v>
      </c>
      <c r="J195" s="13" t="s">
        <v>459</v>
      </c>
      <c r="K195" s="13" t="s">
        <v>455</v>
      </c>
      <c r="L195" s="13"/>
    </row>
    <row r="196" spans="1:12" ht="14.4">
      <c r="A196" s="14">
        <v>194</v>
      </c>
      <c r="B196" s="14">
        <v>295</v>
      </c>
      <c r="C196" s="14">
        <v>295</v>
      </c>
      <c r="D196" s="13" t="s">
        <v>460</v>
      </c>
      <c r="E196" s="13">
        <v>0</v>
      </c>
      <c r="F196" s="13">
        <v>0</v>
      </c>
      <c r="G196" s="13">
        <v>0</v>
      </c>
      <c r="H196" s="13">
        <v>0</v>
      </c>
      <c r="I196" s="13" t="s">
        <v>63</v>
      </c>
      <c r="J196" s="13" t="s">
        <v>461</v>
      </c>
      <c r="K196" s="13" t="s">
        <v>455</v>
      </c>
      <c r="L196" s="13"/>
    </row>
    <row r="197" spans="1:12" ht="14.4">
      <c r="A197" s="14">
        <v>195</v>
      </c>
      <c r="B197" s="14">
        <v>296</v>
      </c>
      <c r="C197" s="14">
        <v>296</v>
      </c>
      <c r="D197" s="13" t="s">
        <v>379</v>
      </c>
      <c r="E197" s="13">
        <v>1</v>
      </c>
      <c r="F197" s="13">
        <v>1</v>
      </c>
      <c r="G197" s="13">
        <v>1</v>
      </c>
      <c r="H197" s="13">
        <v>0</v>
      </c>
      <c r="I197" s="13" t="s">
        <v>10</v>
      </c>
      <c r="J197" s="13" t="s">
        <v>462</v>
      </c>
      <c r="K197" s="13" t="s">
        <v>463</v>
      </c>
      <c r="L197" s="13"/>
    </row>
    <row r="198" spans="1:12" ht="15.75" customHeight="1">
      <c r="A198" s="14">
        <v>196</v>
      </c>
      <c r="B198" s="14">
        <v>304</v>
      </c>
      <c r="C198" s="14">
        <v>304</v>
      </c>
      <c r="D198" t="s">
        <v>485</v>
      </c>
      <c r="E198" s="13">
        <v>0</v>
      </c>
      <c r="F198" s="13">
        <v>0</v>
      </c>
      <c r="G198" s="13">
        <v>0</v>
      </c>
      <c r="H198" s="13">
        <v>0</v>
      </c>
      <c r="I198" s="13" t="s">
        <v>10</v>
      </c>
      <c r="J198" t="s">
        <v>472</v>
      </c>
      <c r="K198" s="13" t="s">
        <v>482</v>
      </c>
    </row>
    <row r="199" spans="1:12" ht="15.75" customHeight="1">
      <c r="A199" s="14">
        <v>197</v>
      </c>
      <c r="B199" s="14">
        <v>306</v>
      </c>
      <c r="C199" s="14">
        <v>306</v>
      </c>
      <c r="D199" t="s">
        <v>471</v>
      </c>
      <c r="E199" s="13">
        <v>1</v>
      </c>
      <c r="F199" s="13">
        <v>0</v>
      </c>
      <c r="G199" s="13">
        <v>0</v>
      </c>
      <c r="H199" s="13">
        <v>0</v>
      </c>
      <c r="I199" s="13" t="s">
        <v>10</v>
      </c>
      <c r="J199" t="s">
        <v>475</v>
      </c>
      <c r="K199" s="13" t="s">
        <v>482</v>
      </c>
    </row>
    <row r="200" spans="1:12" ht="15.75" customHeight="1">
      <c r="A200" s="14">
        <v>198</v>
      </c>
      <c r="B200" s="14">
        <v>308</v>
      </c>
      <c r="C200" s="14">
        <v>308</v>
      </c>
      <c r="D200" t="s">
        <v>483</v>
      </c>
      <c r="E200" s="13">
        <v>1</v>
      </c>
      <c r="F200">
        <v>0</v>
      </c>
      <c r="G200">
        <v>0</v>
      </c>
      <c r="H200" s="13">
        <v>0</v>
      </c>
      <c r="I200" s="13" t="s">
        <v>10</v>
      </c>
      <c r="J200" t="s">
        <v>478</v>
      </c>
      <c r="K200" s="13" t="s">
        <v>482</v>
      </c>
    </row>
    <row r="201" spans="1:12" ht="15.75" customHeight="1">
      <c r="A201" s="14">
        <v>199</v>
      </c>
      <c r="B201" s="14">
        <v>309</v>
      </c>
      <c r="C201" s="14">
        <v>309</v>
      </c>
      <c r="D201" t="s">
        <v>477</v>
      </c>
      <c r="E201" s="13">
        <v>1</v>
      </c>
      <c r="F201">
        <v>0</v>
      </c>
      <c r="G201">
        <v>0</v>
      </c>
      <c r="H201" s="13">
        <v>0</v>
      </c>
      <c r="I201" s="13" t="s">
        <v>10</v>
      </c>
      <c r="J201" t="s">
        <v>480</v>
      </c>
      <c r="K201" s="13" t="s">
        <v>482</v>
      </c>
    </row>
    <row r="202" spans="1:12" ht="15.75" customHeight="1">
      <c r="A202" s="14">
        <v>200</v>
      </c>
      <c r="B202" s="14">
        <v>310</v>
      </c>
      <c r="C202" s="14">
        <v>310</v>
      </c>
      <c r="D202" t="s">
        <v>201</v>
      </c>
      <c r="E202" s="13">
        <v>1</v>
      </c>
      <c r="F202">
        <v>0</v>
      </c>
      <c r="G202">
        <v>0</v>
      </c>
      <c r="H202" s="13">
        <v>0</v>
      </c>
      <c r="I202" s="13" t="s">
        <v>10</v>
      </c>
      <c r="J202" s="20" t="s">
        <v>486</v>
      </c>
      <c r="K202" s="13" t="s">
        <v>490</v>
      </c>
    </row>
    <row r="203" spans="1:12" ht="15.75" customHeight="1">
      <c r="A203" s="14">
        <v>201</v>
      </c>
      <c r="B203" s="14">
        <v>311</v>
      </c>
      <c r="C203" s="14">
        <v>311</v>
      </c>
      <c r="D203" t="s">
        <v>474</v>
      </c>
      <c r="E203" s="13">
        <v>1</v>
      </c>
      <c r="F203">
        <v>0</v>
      </c>
      <c r="G203">
        <v>0</v>
      </c>
      <c r="H203" s="13">
        <v>0</v>
      </c>
      <c r="I203" s="13" t="s">
        <v>10</v>
      </c>
      <c r="J203" s="20" t="s">
        <v>487</v>
      </c>
      <c r="K203" s="13" t="s">
        <v>490</v>
      </c>
    </row>
    <row r="204" spans="1:12" ht="15.75" customHeight="1">
      <c r="A204" s="14">
        <v>202</v>
      </c>
      <c r="B204" s="14">
        <v>312</v>
      </c>
      <c r="C204" s="14">
        <v>312</v>
      </c>
      <c r="D204" t="s">
        <v>479</v>
      </c>
      <c r="E204" s="13">
        <v>1</v>
      </c>
      <c r="F204">
        <v>0</v>
      </c>
      <c r="G204">
        <v>0</v>
      </c>
      <c r="H204" s="13">
        <v>0</v>
      </c>
      <c r="I204" s="13" t="s">
        <v>10</v>
      </c>
      <c r="J204" s="20" t="s">
        <v>488</v>
      </c>
      <c r="K204" s="13" t="s">
        <v>490</v>
      </c>
    </row>
    <row r="205" spans="1:12" ht="15.75" customHeight="1">
      <c r="A205" s="14">
        <v>203</v>
      </c>
      <c r="B205" s="14">
        <v>313</v>
      </c>
      <c r="C205" s="14">
        <v>313</v>
      </c>
      <c r="D205" t="s">
        <v>484</v>
      </c>
      <c r="E205">
        <v>0</v>
      </c>
      <c r="F205">
        <v>0</v>
      </c>
      <c r="G205">
        <v>0</v>
      </c>
      <c r="H205" s="13">
        <v>0</v>
      </c>
      <c r="I205" s="13" t="s">
        <v>10</v>
      </c>
      <c r="J205" s="20" t="s">
        <v>489</v>
      </c>
      <c r="K205" s="13" t="s">
        <v>490</v>
      </c>
    </row>
  </sheetData>
  <sortState xmlns:xlrd2="http://schemas.microsoft.com/office/spreadsheetml/2017/richdata2" ref="D198:D205">
    <sortCondition ref="D198"/>
  </sortState>
  <mergeCells count="124">
    <mergeCell ref="K1:L1"/>
    <mergeCell ref="D68:G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D84:G84"/>
    <mergeCell ref="K84:L84"/>
    <mergeCell ref="K85:L85"/>
    <mergeCell ref="K86:L86"/>
    <mergeCell ref="K87:L87"/>
    <mergeCell ref="K88:L88"/>
    <mergeCell ref="K89:L89"/>
    <mergeCell ref="K90:L90"/>
    <mergeCell ref="K91:L91"/>
    <mergeCell ref="K92:L92"/>
    <mergeCell ref="K93:L93"/>
    <mergeCell ref="K94:L94"/>
    <mergeCell ref="K95:L95"/>
    <mergeCell ref="K96:L96"/>
    <mergeCell ref="K97:L97"/>
    <mergeCell ref="K98:L98"/>
    <mergeCell ref="K99:L99"/>
    <mergeCell ref="K100:L100"/>
    <mergeCell ref="K101:L101"/>
    <mergeCell ref="K102:L102"/>
    <mergeCell ref="K103:L103"/>
    <mergeCell ref="K104:L104"/>
    <mergeCell ref="K105:L105"/>
    <mergeCell ref="K106:L106"/>
    <mergeCell ref="D108:G108"/>
    <mergeCell ref="K107:L107"/>
    <mergeCell ref="K108:L108"/>
    <mergeCell ref="K109:L109"/>
    <mergeCell ref="K110:L110"/>
    <mergeCell ref="K111:L111"/>
    <mergeCell ref="K112:L112"/>
    <mergeCell ref="K113:L113"/>
    <mergeCell ref="K161:L161"/>
    <mergeCell ref="K162:L162"/>
    <mergeCell ref="K163:L163"/>
    <mergeCell ref="K164:L164"/>
    <mergeCell ref="K165:L165"/>
    <mergeCell ref="K166:L166"/>
    <mergeCell ref="K114:L114"/>
    <mergeCell ref="K115:L115"/>
    <mergeCell ref="K116:L116"/>
    <mergeCell ref="K117:L117"/>
    <mergeCell ref="K118:L118"/>
    <mergeCell ref="K126:L126"/>
    <mergeCell ref="K127:L127"/>
    <mergeCell ref="K128:L128"/>
    <mergeCell ref="K129:L129"/>
    <mergeCell ref="K130:L130"/>
    <mergeCell ref="K131:L131"/>
    <mergeCell ref="K132:L132"/>
    <mergeCell ref="K133:L133"/>
    <mergeCell ref="K134:L134"/>
    <mergeCell ref="K135:L135"/>
    <mergeCell ref="K167:L167"/>
    <mergeCell ref="K168:L168"/>
    <mergeCell ref="K169:L169"/>
    <mergeCell ref="K170:L170"/>
    <mergeCell ref="K171:L171"/>
    <mergeCell ref="K172:L172"/>
    <mergeCell ref="K173:L173"/>
    <mergeCell ref="K174:L174"/>
    <mergeCell ref="K183:L183"/>
    <mergeCell ref="K184:L184"/>
    <mergeCell ref="K185:L185"/>
    <mergeCell ref="K186:L186"/>
    <mergeCell ref="K187:L187"/>
    <mergeCell ref="K175:L175"/>
    <mergeCell ref="K176:L176"/>
    <mergeCell ref="K177:L177"/>
    <mergeCell ref="K178:L178"/>
    <mergeCell ref="K180:L180"/>
    <mergeCell ref="K181:L181"/>
    <mergeCell ref="K182:L182"/>
    <mergeCell ref="D119:G119"/>
    <mergeCell ref="K119:L119"/>
    <mergeCell ref="K120:L120"/>
    <mergeCell ref="K121:L121"/>
    <mergeCell ref="K122:L122"/>
    <mergeCell ref="K123:L123"/>
    <mergeCell ref="K124:L124"/>
    <mergeCell ref="D125:G125"/>
    <mergeCell ref="K125:L125"/>
    <mergeCell ref="K136:L136"/>
    <mergeCell ref="K137:L137"/>
    <mergeCell ref="K138:L138"/>
    <mergeCell ref="K139:L139"/>
    <mergeCell ref="K140:L140"/>
    <mergeCell ref="K141:L141"/>
    <mergeCell ref="K142:L142"/>
    <mergeCell ref="K143:L143"/>
    <mergeCell ref="K144:L144"/>
    <mergeCell ref="K154:L154"/>
    <mergeCell ref="K155:L155"/>
    <mergeCell ref="K156:L156"/>
    <mergeCell ref="K157:L157"/>
    <mergeCell ref="K158:L158"/>
    <mergeCell ref="K159:L159"/>
    <mergeCell ref="K160:L160"/>
    <mergeCell ref="K145:L145"/>
    <mergeCell ref="K146:L146"/>
    <mergeCell ref="K147:L147"/>
    <mergeCell ref="K148:L148"/>
    <mergeCell ref="K149:L149"/>
    <mergeCell ref="K150:L150"/>
    <mergeCell ref="K151:L151"/>
    <mergeCell ref="K152:L152"/>
    <mergeCell ref="K153:L153"/>
  </mergeCells>
  <hyperlinks>
    <hyperlink ref="B1" r:id="rId1" xr:uid="{00000000-0004-0000-02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4793F-28B5-465C-A2BB-916D66F87CA0}">
  <dimension ref="A1:O190"/>
  <sheetViews>
    <sheetView workbookViewId="0">
      <selection activeCell="L27" sqref="L27"/>
    </sheetView>
  </sheetViews>
  <sheetFormatPr defaultRowHeight="13.2"/>
  <cols>
    <col min="7" max="7" width="17.88671875" customWidth="1"/>
    <col min="8" max="8" width="17.44140625" customWidth="1"/>
    <col min="11" max="11" width="23.88671875" customWidth="1"/>
    <col min="12" max="12" width="20.109375" customWidth="1"/>
  </cols>
  <sheetData>
    <row r="1" spans="1:15" ht="14.4">
      <c r="A1" s="13" t="s">
        <v>6</v>
      </c>
      <c r="B1" s="13" t="s">
        <v>2</v>
      </c>
      <c r="C1" s="13" t="s">
        <v>3</v>
      </c>
      <c r="D1" s="13" t="s">
        <v>4</v>
      </c>
      <c r="E1" s="13" t="s">
        <v>491</v>
      </c>
      <c r="G1" s="33" t="s">
        <v>499</v>
      </c>
      <c r="H1" s="33"/>
      <c r="I1" s="33"/>
      <c r="K1" s="34" t="s">
        <v>502</v>
      </c>
      <c r="L1" s="34"/>
      <c r="N1" s="35" t="s">
        <v>445</v>
      </c>
      <c r="O1" s="36"/>
    </row>
    <row r="2" spans="1:15" ht="14.4">
      <c r="A2" s="13" t="s">
        <v>11</v>
      </c>
      <c r="B2" s="13">
        <v>1</v>
      </c>
      <c r="C2" s="13">
        <v>0</v>
      </c>
      <c r="D2" s="13">
        <v>0</v>
      </c>
      <c r="E2" s="13">
        <v>1</v>
      </c>
      <c r="G2" s="15" t="s">
        <v>2</v>
      </c>
      <c r="H2">
        <f>SUMIF(A2:A190,"WoS",B2:B190)</f>
        <v>20</v>
      </c>
      <c r="K2" s="15" t="s">
        <v>2</v>
      </c>
      <c r="L2">
        <f>SUMIF(A2:A190,"Google Scholar",B2:B190)</f>
        <v>63</v>
      </c>
      <c r="N2" s="15" t="s">
        <v>2</v>
      </c>
      <c r="O2">
        <f>SUMIF(A2:A190,"Springer",C2:C190)</f>
        <v>1</v>
      </c>
    </row>
    <row r="3" spans="1:15" ht="14.4">
      <c r="A3" s="13" t="s">
        <v>11</v>
      </c>
      <c r="B3" s="13">
        <v>1</v>
      </c>
      <c r="C3" s="13">
        <v>0</v>
      </c>
      <c r="D3" s="13">
        <v>1</v>
      </c>
      <c r="E3" s="13">
        <v>1</v>
      </c>
      <c r="G3" s="15" t="s">
        <v>500</v>
      </c>
      <c r="H3">
        <f>SUMIF(A2:A190,"WoS",C2:C190)</f>
        <v>10</v>
      </c>
      <c r="K3" s="15" t="s">
        <v>500</v>
      </c>
      <c r="L3">
        <f>SUMIF(A2:A190,"Google Scholar",C2:C190)</f>
        <v>54</v>
      </c>
      <c r="N3" s="15" t="s">
        <v>500</v>
      </c>
      <c r="O3">
        <v>1</v>
      </c>
    </row>
    <row r="4" spans="1:15" ht="14.4">
      <c r="A4" s="13" t="s">
        <v>11</v>
      </c>
      <c r="B4" s="13">
        <v>1</v>
      </c>
      <c r="C4" s="13">
        <v>0</v>
      </c>
      <c r="D4" s="13">
        <v>0</v>
      </c>
      <c r="E4" s="13">
        <v>1</v>
      </c>
      <c r="G4" s="15" t="s">
        <v>501</v>
      </c>
      <c r="H4">
        <f>SUMIF(A2:A190,"WoS",E2:E190)</f>
        <v>43</v>
      </c>
      <c r="K4" s="15" t="s">
        <v>501</v>
      </c>
      <c r="L4">
        <f>SUMIF(A2:A190,"Google Scholar",E2:E190)</f>
        <v>63</v>
      </c>
      <c r="N4" s="15" t="s">
        <v>501</v>
      </c>
      <c r="O4">
        <f>SUMIF(A2:A190,"Springer",E2:E190)</f>
        <v>0</v>
      </c>
    </row>
    <row r="5" spans="1:15" ht="14.4">
      <c r="A5" s="13" t="s">
        <v>11</v>
      </c>
      <c r="B5" s="13">
        <v>1</v>
      </c>
      <c r="C5" s="13">
        <v>0</v>
      </c>
      <c r="D5" s="13">
        <v>1</v>
      </c>
      <c r="E5" s="13">
        <v>1</v>
      </c>
      <c r="G5" s="15" t="s">
        <v>503</v>
      </c>
      <c r="H5">
        <f>SUMIF(A2:A190,"WoS",D2:D190)</f>
        <v>56</v>
      </c>
      <c r="K5" s="15" t="s">
        <v>503</v>
      </c>
      <c r="L5">
        <f>SUMIF(A2:A190,"Google Scholar",D2:D190)</f>
        <v>30</v>
      </c>
      <c r="N5" s="15" t="s">
        <v>503</v>
      </c>
      <c r="O5">
        <f>SUMIF(A2:A190,"Springer",D2:D190)</f>
        <v>0</v>
      </c>
    </row>
    <row r="6" spans="1:15" ht="14.4">
      <c r="A6" s="13" t="s">
        <v>11</v>
      </c>
      <c r="B6" s="13">
        <v>0</v>
      </c>
      <c r="C6" s="13">
        <v>1</v>
      </c>
      <c r="D6" s="13">
        <v>1</v>
      </c>
      <c r="E6" s="13">
        <v>1</v>
      </c>
    </row>
    <row r="7" spans="1:15" ht="14.4">
      <c r="A7" s="13" t="s">
        <v>11</v>
      </c>
      <c r="B7" s="13">
        <v>0</v>
      </c>
      <c r="C7" s="13">
        <v>0</v>
      </c>
      <c r="D7" s="13">
        <v>1</v>
      </c>
      <c r="E7" s="13">
        <v>1</v>
      </c>
    </row>
    <row r="8" spans="1:15" ht="14.4">
      <c r="A8" s="13" t="s">
        <v>11</v>
      </c>
      <c r="B8" s="13">
        <v>0</v>
      </c>
      <c r="C8" s="13">
        <v>0</v>
      </c>
      <c r="D8" s="13">
        <v>1</v>
      </c>
      <c r="E8" s="13">
        <v>0</v>
      </c>
    </row>
    <row r="9" spans="1:15" ht="14.4">
      <c r="A9" s="13" t="s">
        <v>11</v>
      </c>
      <c r="B9" s="13">
        <v>0</v>
      </c>
      <c r="C9" s="13">
        <v>0</v>
      </c>
      <c r="D9" s="13">
        <v>1</v>
      </c>
      <c r="E9" s="13">
        <v>1</v>
      </c>
      <c r="G9" s="37" t="s">
        <v>504</v>
      </c>
      <c r="H9" s="38"/>
    </row>
    <row r="10" spans="1:15" ht="14.4">
      <c r="A10" s="13" t="s">
        <v>11</v>
      </c>
      <c r="B10" s="13">
        <v>1</v>
      </c>
      <c r="C10" s="13">
        <v>1</v>
      </c>
      <c r="D10" s="13">
        <v>1</v>
      </c>
      <c r="E10" s="13">
        <v>1</v>
      </c>
      <c r="G10" s="15" t="s">
        <v>2</v>
      </c>
      <c r="H10">
        <f>SUMIF(A2:A190,"Wiley",B2:B190)</f>
        <v>1</v>
      </c>
    </row>
    <row r="11" spans="1:15" ht="14.4">
      <c r="A11" s="13" t="s">
        <v>11</v>
      </c>
      <c r="B11" s="13">
        <v>1</v>
      </c>
      <c r="C11" s="13">
        <v>0</v>
      </c>
      <c r="D11" s="13">
        <v>1</v>
      </c>
      <c r="E11" s="13">
        <v>0</v>
      </c>
      <c r="G11" s="15" t="s">
        <v>500</v>
      </c>
      <c r="H11">
        <f>SUMIF(A2:A190,"Wiley",C2:C190)</f>
        <v>1</v>
      </c>
    </row>
    <row r="12" spans="1:15" ht="14.4">
      <c r="A12" s="13" t="s">
        <v>11</v>
      </c>
      <c r="B12" s="13">
        <v>1</v>
      </c>
      <c r="C12" s="13">
        <v>0</v>
      </c>
      <c r="D12" s="13">
        <v>1</v>
      </c>
      <c r="E12" s="13">
        <v>1</v>
      </c>
      <c r="G12" s="15" t="s">
        <v>501</v>
      </c>
      <c r="H12">
        <f>SUMIF(A2:A190,"Wiley",E2:E190)</f>
        <v>1</v>
      </c>
    </row>
    <row r="13" spans="1:15" ht="14.4">
      <c r="A13" s="13" t="s">
        <v>11</v>
      </c>
      <c r="B13" s="13">
        <v>0</v>
      </c>
      <c r="C13" s="13">
        <v>0</v>
      </c>
      <c r="D13" s="13">
        <v>1</v>
      </c>
      <c r="E13" s="13">
        <v>1</v>
      </c>
      <c r="G13" s="15" t="s">
        <v>503</v>
      </c>
      <c r="H13">
        <f>SUMIF(A2:A190,"Wiley",D2:D190)</f>
        <v>1</v>
      </c>
    </row>
    <row r="14" spans="1:15" ht="14.4">
      <c r="A14" s="13" t="s">
        <v>11</v>
      </c>
      <c r="B14" s="13">
        <v>0</v>
      </c>
      <c r="C14" s="13">
        <v>0</v>
      </c>
      <c r="D14" s="13">
        <v>1</v>
      </c>
      <c r="E14" s="13">
        <v>1</v>
      </c>
    </row>
    <row r="15" spans="1:15" ht="14.4">
      <c r="A15" s="13" t="s">
        <v>11</v>
      </c>
      <c r="B15" s="13">
        <v>1</v>
      </c>
      <c r="C15" s="13">
        <v>0</v>
      </c>
      <c r="D15" s="13">
        <v>1</v>
      </c>
      <c r="E15" s="13">
        <v>0</v>
      </c>
      <c r="G15" s="15" t="s">
        <v>2</v>
      </c>
      <c r="H15" t="s">
        <v>504</v>
      </c>
      <c r="I15">
        <v>1</v>
      </c>
    </row>
    <row r="16" spans="1:15" ht="14.4">
      <c r="A16" s="13" t="s">
        <v>11</v>
      </c>
      <c r="B16" s="13">
        <v>0</v>
      </c>
      <c r="C16" s="13">
        <v>0</v>
      </c>
      <c r="D16" s="13">
        <v>1</v>
      </c>
      <c r="E16" s="13">
        <v>1</v>
      </c>
      <c r="G16" s="15" t="s">
        <v>500</v>
      </c>
      <c r="H16" t="s">
        <v>504</v>
      </c>
      <c r="I16">
        <v>1</v>
      </c>
    </row>
    <row r="17" spans="1:9" ht="14.4">
      <c r="A17" s="13" t="s">
        <v>11</v>
      </c>
      <c r="B17" s="13">
        <v>1</v>
      </c>
      <c r="C17" s="13">
        <v>0</v>
      </c>
      <c r="D17" s="13">
        <v>1</v>
      </c>
      <c r="E17" s="13">
        <v>1</v>
      </c>
      <c r="G17" s="15" t="s">
        <v>501</v>
      </c>
      <c r="H17" t="s">
        <v>504</v>
      </c>
      <c r="I17">
        <v>1</v>
      </c>
    </row>
    <row r="18" spans="1:9" ht="14.4">
      <c r="A18" s="13" t="s">
        <v>11</v>
      </c>
      <c r="B18" s="13">
        <v>0</v>
      </c>
      <c r="C18" s="13">
        <v>0</v>
      </c>
      <c r="D18" s="13">
        <v>1</v>
      </c>
      <c r="E18" s="13">
        <v>1</v>
      </c>
      <c r="G18" s="15" t="s">
        <v>503</v>
      </c>
      <c r="H18" t="s">
        <v>504</v>
      </c>
      <c r="I18">
        <v>1</v>
      </c>
    </row>
    <row r="19" spans="1:9" ht="14.4">
      <c r="A19" s="13" t="s">
        <v>11</v>
      </c>
      <c r="B19" s="13">
        <v>1</v>
      </c>
      <c r="C19" s="13">
        <v>0</v>
      </c>
      <c r="D19" s="13">
        <v>1</v>
      </c>
      <c r="E19" s="13">
        <v>1</v>
      </c>
      <c r="G19" s="15" t="s">
        <v>2</v>
      </c>
      <c r="H19" s="15" t="s">
        <v>505</v>
      </c>
      <c r="I19">
        <v>20</v>
      </c>
    </row>
    <row r="20" spans="1:9" ht="14.4">
      <c r="A20" s="13" t="s">
        <v>11</v>
      </c>
      <c r="B20" s="13">
        <v>1</v>
      </c>
      <c r="C20" s="13">
        <v>0</v>
      </c>
      <c r="D20" s="13">
        <v>1</v>
      </c>
      <c r="E20" s="13">
        <v>0</v>
      </c>
      <c r="G20" s="15" t="s">
        <v>500</v>
      </c>
      <c r="H20" s="15" t="s">
        <v>505</v>
      </c>
      <c r="I20">
        <v>10</v>
      </c>
    </row>
    <row r="21" spans="1:9" ht="14.4">
      <c r="A21" s="13" t="s">
        <v>11</v>
      </c>
      <c r="B21" s="13">
        <v>0</v>
      </c>
      <c r="C21" s="13">
        <v>0</v>
      </c>
      <c r="D21" s="13">
        <v>1</v>
      </c>
      <c r="E21" s="13">
        <v>1</v>
      </c>
      <c r="G21" s="15" t="s">
        <v>501</v>
      </c>
      <c r="H21" s="15" t="s">
        <v>505</v>
      </c>
      <c r="I21">
        <v>43</v>
      </c>
    </row>
    <row r="22" spans="1:9" ht="14.4">
      <c r="A22" s="13" t="s">
        <v>11</v>
      </c>
      <c r="B22" s="13">
        <v>1</v>
      </c>
      <c r="C22" s="13">
        <v>0</v>
      </c>
      <c r="D22" s="13">
        <v>1</v>
      </c>
      <c r="E22" s="13">
        <v>1</v>
      </c>
      <c r="G22" s="15" t="s">
        <v>503</v>
      </c>
      <c r="H22" s="15" t="s">
        <v>505</v>
      </c>
      <c r="I22">
        <v>56</v>
      </c>
    </row>
    <row r="23" spans="1:9" ht="14.4">
      <c r="A23" s="13" t="s">
        <v>11</v>
      </c>
      <c r="B23" s="13">
        <v>0</v>
      </c>
      <c r="C23" s="13">
        <v>0</v>
      </c>
      <c r="D23" s="13">
        <v>1</v>
      </c>
      <c r="E23" s="13">
        <v>1</v>
      </c>
      <c r="G23" s="15" t="s">
        <v>2</v>
      </c>
      <c r="H23" t="s">
        <v>445</v>
      </c>
      <c r="I23">
        <v>1</v>
      </c>
    </row>
    <row r="24" spans="1:9" ht="14.4">
      <c r="A24" s="13" t="s">
        <v>11</v>
      </c>
      <c r="B24" s="13">
        <v>1</v>
      </c>
      <c r="C24" s="13">
        <v>0</v>
      </c>
      <c r="D24" s="13">
        <v>1</v>
      </c>
      <c r="E24" s="13">
        <v>0</v>
      </c>
      <c r="G24" s="15" t="s">
        <v>500</v>
      </c>
      <c r="H24" t="s">
        <v>445</v>
      </c>
      <c r="I24">
        <v>1</v>
      </c>
    </row>
    <row r="25" spans="1:9" ht="14.4">
      <c r="A25" s="13" t="s">
        <v>11</v>
      </c>
      <c r="B25" s="13">
        <v>1</v>
      </c>
      <c r="C25" s="13">
        <v>0</v>
      </c>
      <c r="D25" s="13">
        <v>1</v>
      </c>
      <c r="E25" s="13">
        <v>1</v>
      </c>
      <c r="G25" s="15" t="s">
        <v>501</v>
      </c>
      <c r="H25" t="s">
        <v>445</v>
      </c>
      <c r="I25">
        <v>0</v>
      </c>
    </row>
    <row r="26" spans="1:9" ht="14.4">
      <c r="A26" s="13" t="s">
        <v>11</v>
      </c>
      <c r="B26" s="13">
        <v>0</v>
      </c>
      <c r="C26" s="13">
        <v>0</v>
      </c>
      <c r="D26" s="13">
        <v>1</v>
      </c>
      <c r="E26" s="13">
        <v>1</v>
      </c>
      <c r="G26" s="15" t="s">
        <v>503</v>
      </c>
      <c r="H26" t="s">
        <v>445</v>
      </c>
      <c r="I26">
        <v>0</v>
      </c>
    </row>
    <row r="27" spans="1:9" ht="14.4">
      <c r="A27" s="13" t="s">
        <v>11</v>
      </c>
      <c r="B27" s="13">
        <v>0</v>
      </c>
      <c r="C27" s="13">
        <v>0</v>
      </c>
      <c r="D27" s="13">
        <v>1</v>
      </c>
      <c r="E27" s="13">
        <v>0</v>
      </c>
      <c r="G27" s="15" t="s">
        <v>2</v>
      </c>
      <c r="H27" t="s">
        <v>502</v>
      </c>
      <c r="I27">
        <v>63</v>
      </c>
    </row>
    <row r="28" spans="1:9" ht="14.4">
      <c r="A28" s="13" t="s">
        <v>11</v>
      </c>
      <c r="B28" s="13">
        <v>0</v>
      </c>
      <c r="C28" s="13">
        <v>0</v>
      </c>
      <c r="D28" s="13">
        <v>0</v>
      </c>
      <c r="E28" s="13">
        <v>1</v>
      </c>
      <c r="G28" s="15" t="s">
        <v>500</v>
      </c>
      <c r="H28" t="s">
        <v>502</v>
      </c>
      <c r="I28">
        <v>54</v>
      </c>
    </row>
    <row r="29" spans="1:9" ht="14.4">
      <c r="A29" s="13" t="s">
        <v>11</v>
      </c>
      <c r="B29" s="13">
        <v>0</v>
      </c>
      <c r="C29" s="13">
        <v>0</v>
      </c>
      <c r="D29" s="13">
        <v>1</v>
      </c>
      <c r="E29" s="13">
        <v>1</v>
      </c>
      <c r="G29" s="15" t="s">
        <v>501</v>
      </c>
      <c r="H29" t="s">
        <v>502</v>
      </c>
      <c r="I29">
        <v>63</v>
      </c>
    </row>
    <row r="30" spans="1:9" ht="14.4">
      <c r="A30" s="13" t="s">
        <v>11</v>
      </c>
      <c r="B30" s="13">
        <v>0</v>
      </c>
      <c r="C30" s="13">
        <v>0</v>
      </c>
      <c r="D30" s="13">
        <v>1</v>
      </c>
      <c r="E30" s="13">
        <v>1</v>
      </c>
      <c r="G30" s="15" t="s">
        <v>503</v>
      </c>
      <c r="H30" t="s">
        <v>502</v>
      </c>
      <c r="I30">
        <v>30</v>
      </c>
    </row>
    <row r="31" spans="1:9" ht="14.4">
      <c r="A31" s="13" t="s">
        <v>11</v>
      </c>
      <c r="B31" s="13">
        <v>1</v>
      </c>
      <c r="C31" s="13">
        <v>0</v>
      </c>
      <c r="D31" s="13">
        <v>1</v>
      </c>
      <c r="E31" s="13">
        <v>1</v>
      </c>
      <c r="G31" s="15" t="s">
        <v>2</v>
      </c>
      <c r="H31" t="s">
        <v>490</v>
      </c>
      <c r="I31">
        <v>3</v>
      </c>
    </row>
    <row r="32" spans="1:9" ht="14.4">
      <c r="A32" s="13" t="s">
        <v>11</v>
      </c>
      <c r="B32" s="13">
        <v>1</v>
      </c>
      <c r="C32" s="13">
        <v>0</v>
      </c>
      <c r="D32" s="13">
        <v>1</v>
      </c>
      <c r="E32" s="13">
        <v>1</v>
      </c>
      <c r="G32" s="15" t="s">
        <v>500</v>
      </c>
      <c r="H32" t="s">
        <v>490</v>
      </c>
      <c r="I32">
        <v>0</v>
      </c>
    </row>
    <row r="33" spans="1:9" ht="14.4">
      <c r="A33" s="13" t="s">
        <v>11</v>
      </c>
      <c r="B33" s="13">
        <v>0</v>
      </c>
      <c r="C33" s="13">
        <v>0</v>
      </c>
      <c r="D33" s="13">
        <v>0</v>
      </c>
      <c r="E33" s="13">
        <v>0</v>
      </c>
      <c r="G33" s="15" t="s">
        <v>501</v>
      </c>
      <c r="H33" t="s">
        <v>490</v>
      </c>
      <c r="I33">
        <v>0</v>
      </c>
    </row>
    <row r="34" spans="1:9" ht="14.4">
      <c r="A34" s="13" t="s">
        <v>11</v>
      </c>
      <c r="B34" s="13">
        <v>0</v>
      </c>
      <c r="C34" s="13">
        <v>0</v>
      </c>
      <c r="D34" s="13">
        <v>1</v>
      </c>
      <c r="E34" s="13">
        <v>1</v>
      </c>
      <c r="G34" s="15" t="s">
        <v>503</v>
      </c>
      <c r="H34" t="s">
        <v>490</v>
      </c>
      <c r="I34">
        <v>0</v>
      </c>
    </row>
    <row r="35" spans="1:9" ht="14.4">
      <c r="A35" s="13" t="s">
        <v>11</v>
      </c>
      <c r="B35" s="13">
        <v>0</v>
      </c>
      <c r="C35" s="13">
        <v>0</v>
      </c>
      <c r="D35" s="13">
        <v>1</v>
      </c>
      <c r="E35" s="13">
        <v>1</v>
      </c>
      <c r="G35" s="15" t="s">
        <v>2</v>
      </c>
      <c r="H35" s="15" t="s">
        <v>482</v>
      </c>
      <c r="I35">
        <v>3</v>
      </c>
    </row>
    <row r="36" spans="1:9" ht="14.4">
      <c r="A36" s="13" t="s">
        <v>11</v>
      </c>
      <c r="B36" s="13">
        <v>0</v>
      </c>
      <c r="C36" s="13">
        <v>0</v>
      </c>
      <c r="D36" s="13">
        <v>1</v>
      </c>
      <c r="E36" s="13">
        <v>1</v>
      </c>
      <c r="G36" s="15" t="s">
        <v>500</v>
      </c>
      <c r="H36" s="15" t="s">
        <v>482</v>
      </c>
      <c r="I36">
        <v>0</v>
      </c>
    </row>
    <row r="37" spans="1:9" ht="14.4">
      <c r="A37" s="13" t="s">
        <v>11</v>
      </c>
      <c r="B37" s="13">
        <v>1</v>
      </c>
      <c r="C37" s="13">
        <v>1</v>
      </c>
      <c r="D37" s="13">
        <v>1</v>
      </c>
      <c r="E37" s="13">
        <v>1</v>
      </c>
      <c r="G37" s="15" t="s">
        <v>501</v>
      </c>
      <c r="H37" s="15" t="s">
        <v>482</v>
      </c>
      <c r="I37">
        <v>0</v>
      </c>
    </row>
    <row r="38" spans="1:9" ht="14.4">
      <c r="A38" s="13" t="s">
        <v>11</v>
      </c>
      <c r="B38" s="13">
        <v>0</v>
      </c>
      <c r="C38" s="13">
        <v>1</v>
      </c>
      <c r="D38" s="13">
        <v>1</v>
      </c>
      <c r="E38" s="13">
        <v>1</v>
      </c>
      <c r="G38" s="15" t="s">
        <v>503</v>
      </c>
      <c r="H38" s="15" t="s">
        <v>482</v>
      </c>
      <c r="I38">
        <v>0</v>
      </c>
    </row>
    <row r="39" spans="1:9" ht="14.4">
      <c r="A39" s="13" t="s">
        <v>11</v>
      </c>
      <c r="B39" s="13">
        <v>0</v>
      </c>
      <c r="C39" s="13">
        <v>0</v>
      </c>
      <c r="D39" s="13">
        <v>0</v>
      </c>
      <c r="E39" s="13">
        <v>1</v>
      </c>
    </row>
    <row r="40" spans="1:9" ht="14.4">
      <c r="A40" s="13" t="s">
        <v>11</v>
      </c>
      <c r="B40" s="13">
        <v>0</v>
      </c>
      <c r="C40" s="13">
        <v>0</v>
      </c>
      <c r="D40" s="13">
        <v>1</v>
      </c>
      <c r="E40" s="21">
        <v>1</v>
      </c>
    </row>
    <row r="41" spans="1:9" ht="14.4">
      <c r="A41" s="13" t="s">
        <v>11</v>
      </c>
      <c r="B41" s="13">
        <v>0</v>
      </c>
      <c r="C41" s="13">
        <v>0</v>
      </c>
      <c r="D41" s="13">
        <v>1</v>
      </c>
      <c r="E41" s="21">
        <v>0</v>
      </c>
    </row>
    <row r="42" spans="1:9" ht="14.4">
      <c r="A42" s="13" t="s">
        <v>11</v>
      </c>
      <c r="B42" s="13">
        <v>1</v>
      </c>
      <c r="C42" s="13">
        <v>0</v>
      </c>
      <c r="D42" s="13">
        <v>1</v>
      </c>
      <c r="E42" s="21">
        <v>0</v>
      </c>
    </row>
    <row r="43" spans="1:9" ht="14.4">
      <c r="A43" s="13" t="s">
        <v>11</v>
      </c>
      <c r="B43" s="13">
        <v>0</v>
      </c>
      <c r="C43" s="13">
        <v>0</v>
      </c>
      <c r="D43" s="13">
        <v>0</v>
      </c>
      <c r="E43" s="21">
        <v>0</v>
      </c>
    </row>
    <row r="44" spans="1:9" ht="14.4">
      <c r="A44" s="13" t="s">
        <v>11</v>
      </c>
      <c r="B44" s="13">
        <v>0</v>
      </c>
      <c r="C44" s="13">
        <v>0</v>
      </c>
      <c r="D44" s="13">
        <v>1</v>
      </c>
      <c r="E44" s="21">
        <v>0</v>
      </c>
    </row>
    <row r="45" spans="1:9" ht="14.4">
      <c r="A45" s="13" t="s">
        <v>11</v>
      </c>
      <c r="B45" s="13">
        <v>1</v>
      </c>
      <c r="C45" s="13">
        <v>0</v>
      </c>
      <c r="D45" s="13">
        <v>1</v>
      </c>
      <c r="E45" s="21">
        <v>1</v>
      </c>
    </row>
    <row r="46" spans="1:9" ht="14.4">
      <c r="A46" s="13" t="s">
        <v>11</v>
      </c>
      <c r="B46" s="13">
        <v>0</v>
      </c>
      <c r="C46" s="13">
        <v>0</v>
      </c>
      <c r="D46" s="13">
        <v>1</v>
      </c>
      <c r="E46" s="21">
        <v>1</v>
      </c>
    </row>
    <row r="47" spans="1:9" ht="14.4">
      <c r="A47" s="13" t="s">
        <v>11</v>
      </c>
      <c r="B47" s="13">
        <v>0</v>
      </c>
      <c r="C47" s="13">
        <v>0</v>
      </c>
      <c r="D47" s="13">
        <v>1</v>
      </c>
      <c r="E47" s="21">
        <v>1</v>
      </c>
    </row>
    <row r="48" spans="1:9" ht="14.4">
      <c r="A48" s="13" t="s">
        <v>11</v>
      </c>
      <c r="B48" s="13">
        <v>0</v>
      </c>
      <c r="C48" s="13">
        <v>0</v>
      </c>
      <c r="D48" s="13">
        <v>1</v>
      </c>
      <c r="E48" s="21">
        <v>0</v>
      </c>
    </row>
    <row r="49" spans="1:5" ht="14.4">
      <c r="A49" s="13" t="s">
        <v>11</v>
      </c>
      <c r="B49" s="13">
        <v>0</v>
      </c>
      <c r="C49" s="13">
        <v>0</v>
      </c>
      <c r="D49" s="13">
        <v>1</v>
      </c>
      <c r="E49" s="21">
        <v>1</v>
      </c>
    </row>
    <row r="50" spans="1:5" ht="14.4">
      <c r="A50" s="13" t="s">
        <v>11</v>
      </c>
      <c r="B50" s="13">
        <v>0</v>
      </c>
      <c r="C50" s="13">
        <v>0</v>
      </c>
      <c r="D50" s="13">
        <v>1</v>
      </c>
      <c r="E50" s="21">
        <v>1</v>
      </c>
    </row>
    <row r="51" spans="1:5" ht="14.4">
      <c r="A51" s="13" t="s">
        <v>11</v>
      </c>
      <c r="B51" s="13">
        <v>0</v>
      </c>
      <c r="C51" s="13">
        <v>1</v>
      </c>
      <c r="D51" s="13">
        <v>1</v>
      </c>
      <c r="E51" s="21">
        <v>1</v>
      </c>
    </row>
    <row r="52" spans="1:5" ht="14.4">
      <c r="A52" s="13" t="s">
        <v>11</v>
      </c>
      <c r="B52" s="13">
        <v>0</v>
      </c>
      <c r="C52" s="13">
        <v>0</v>
      </c>
      <c r="D52" s="13">
        <v>0</v>
      </c>
      <c r="E52" s="21">
        <v>0</v>
      </c>
    </row>
    <row r="53" spans="1:5" ht="14.4">
      <c r="A53" s="13" t="s">
        <v>11</v>
      </c>
      <c r="B53" s="13">
        <v>0</v>
      </c>
      <c r="C53" s="13">
        <v>1</v>
      </c>
      <c r="D53" s="13">
        <v>1</v>
      </c>
      <c r="E53" s="21">
        <v>1</v>
      </c>
    </row>
    <row r="54" spans="1:5" ht="14.4">
      <c r="A54" s="13" t="s">
        <v>11</v>
      </c>
      <c r="B54" s="13">
        <v>0</v>
      </c>
      <c r="C54" s="13">
        <v>1</v>
      </c>
      <c r="D54" s="13">
        <v>1</v>
      </c>
      <c r="E54" s="21">
        <v>1</v>
      </c>
    </row>
    <row r="55" spans="1:5" ht="14.4">
      <c r="A55" s="13" t="s">
        <v>11</v>
      </c>
      <c r="B55" s="13">
        <v>0</v>
      </c>
      <c r="C55" s="13">
        <v>1</v>
      </c>
      <c r="D55" s="13">
        <v>1</v>
      </c>
      <c r="E55" s="21">
        <v>1</v>
      </c>
    </row>
    <row r="56" spans="1:5" ht="14.4">
      <c r="A56" s="13" t="s">
        <v>11</v>
      </c>
      <c r="B56" s="13">
        <v>0</v>
      </c>
      <c r="C56" s="13">
        <v>1</v>
      </c>
      <c r="D56" s="13">
        <v>1</v>
      </c>
      <c r="E56" s="21">
        <v>1</v>
      </c>
    </row>
    <row r="57" spans="1:5" ht="14.4">
      <c r="A57" s="13" t="s">
        <v>11</v>
      </c>
      <c r="B57" s="13">
        <v>0</v>
      </c>
      <c r="C57" s="13">
        <v>1</v>
      </c>
      <c r="D57" s="13">
        <v>1</v>
      </c>
      <c r="E57" s="21">
        <v>1</v>
      </c>
    </row>
    <row r="58" spans="1:5" ht="14.4">
      <c r="A58" s="13" t="s">
        <v>11</v>
      </c>
      <c r="B58" s="13">
        <v>0</v>
      </c>
      <c r="C58" s="13">
        <v>0</v>
      </c>
      <c r="D58" s="13">
        <v>1</v>
      </c>
      <c r="E58" s="21">
        <v>0</v>
      </c>
    </row>
    <row r="59" spans="1:5" ht="14.4">
      <c r="A59" s="13" t="s">
        <v>11</v>
      </c>
      <c r="B59" s="13">
        <v>0</v>
      </c>
      <c r="C59" s="13">
        <v>0</v>
      </c>
      <c r="D59" s="13">
        <v>1</v>
      </c>
      <c r="E59" s="21">
        <v>0</v>
      </c>
    </row>
    <row r="60" spans="1:5" ht="14.4">
      <c r="A60" s="13" t="s">
        <v>11</v>
      </c>
      <c r="B60" s="13">
        <v>0</v>
      </c>
      <c r="C60" s="13">
        <v>0</v>
      </c>
      <c r="D60" s="13">
        <v>1</v>
      </c>
      <c r="E60" s="21">
        <v>0</v>
      </c>
    </row>
    <row r="61" spans="1:5" ht="14.4">
      <c r="A61" s="13" t="s">
        <v>11</v>
      </c>
      <c r="B61" s="13">
        <v>0</v>
      </c>
      <c r="C61" s="13">
        <v>0</v>
      </c>
      <c r="D61" s="13">
        <v>0</v>
      </c>
      <c r="E61" s="21">
        <v>0</v>
      </c>
    </row>
    <row r="62" spans="1:5" ht="14.4">
      <c r="A62" s="13" t="s">
        <v>11</v>
      </c>
      <c r="B62" s="13">
        <v>1</v>
      </c>
      <c r="C62" s="13">
        <v>0</v>
      </c>
      <c r="D62" s="13">
        <v>1</v>
      </c>
      <c r="E62" s="21">
        <v>0</v>
      </c>
    </row>
    <row r="63" spans="1:5" ht="14.4">
      <c r="A63" s="13" t="s">
        <v>11</v>
      </c>
      <c r="B63" s="13">
        <v>0</v>
      </c>
      <c r="C63" s="13">
        <v>0</v>
      </c>
      <c r="D63" s="13">
        <v>1</v>
      </c>
      <c r="E63" s="21">
        <v>0</v>
      </c>
    </row>
    <row r="64" spans="1:5" ht="14.4">
      <c r="A64" s="13" t="s">
        <v>11</v>
      </c>
      <c r="B64" s="13">
        <v>0</v>
      </c>
      <c r="C64" s="13">
        <v>0</v>
      </c>
      <c r="D64" s="13">
        <v>1</v>
      </c>
      <c r="E64" s="21">
        <v>0</v>
      </c>
    </row>
    <row r="65" spans="1:5" ht="14.4">
      <c r="A65" s="13" t="s">
        <v>11</v>
      </c>
      <c r="B65" s="13">
        <v>0</v>
      </c>
      <c r="C65" s="13">
        <v>0</v>
      </c>
      <c r="D65" s="13">
        <v>0</v>
      </c>
      <c r="E65" s="21">
        <v>0</v>
      </c>
    </row>
    <row r="66" spans="1:5" ht="14.4">
      <c r="A66" s="13" t="s">
        <v>11</v>
      </c>
      <c r="B66" s="13">
        <v>0</v>
      </c>
      <c r="C66" s="13">
        <v>0</v>
      </c>
      <c r="D66" s="13">
        <v>0</v>
      </c>
      <c r="E66" s="21">
        <v>0</v>
      </c>
    </row>
    <row r="67" spans="1:5" ht="14.4">
      <c r="A67" s="13" t="s">
        <v>11</v>
      </c>
      <c r="B67" s="13">
        <v>0</v>
      </c>
      <c r="C67" s="13">
        <v>0</v>
      </c>
      <c r="D67" s="13">
        <v>1</v>
      </c>
      <c r="E67" s="21">
        <v>0</v>
      </c>
    </row>
    <row r="68" spans="1:5" ht="14.4">
      <c r="A68" s="13" t="s">
        <v>11</v>
      </c>
      <c r="B68" s="13"/>
      <c r="C68" s="13"/>
      <c r="D68" s="13"/>
      <c r="E68" s="13"/>
    </row>
    <row r="69" spans="1:5" ht="14.4">
      <c r="A69" s="13" t="s">
        <v>185</v>
      </c>
      <c r="B69" s="13">
        <v>0</v>
      </c>
      <c r="C69" s="13">
        <v>1</v>
      </c>
      <c r="D69" s="13">
        <v>1</v>
      </c>
      <c r="E69" s="13">
        <v>1</v>
      </c>
    </row>
    <row r="70" spans="1:5" ht="14.4">
      <c r="A70" s="13" t="s">
        <v>185</v>
      </c>
      <c r="B70" s="13">
        <v>0</v>
      </c>
      <c r="C70" s="13">
        <v>0</v>
      </c>
      <c r="D70" s="13">
        <v>0</v>
      </c>
      <c r="E70" s="13">
        <v>0</v>
      </c>
    </row>
    <row r="71" spans="1:5" ht="14.4">
      <c r="A71" s="13" t="s">
        <v>185</v>
      </c>
      <c r="B71" s="13">
        <v>1</v>
      </c>
      <c r="C71" s="13">
        <v>0</v>
      </c>
      <c r="D71" s="13">
        <v>0</v>
      </c>
      <c r="E71" s="13">
        <v>0</v>
      </c>
    </row>
    <row r="72" spans="1:5" ht="14.4">
      <c r="A72" s="13" t="s">
        <v>185</v>
      </c>
      <c r="B72" s="13">
        <v>1</v>
      </c>
      <c r="C72" s="13">
        <v>0</v>
      </c>
      <c r="D72" s="13">
        <v>0</v>
      </c>
      <c r="E72" s="13">
        <v>1</v>
      </c>
    </row>
    <row r="73" spans="1:5" ht="14.4">
      <c r="A73" s="13" t="s">
        <v>185</v>
      </c>
      <c r="B73" s="13">
        <v>1</v>
      </c>
      <c r="C73" s="13">
        <v>0</v>
      </c>
      <c r="D73" s="13">
        <v>0</v>
      </c>
      <c r="E73" s="13">
        <v>0</v>
      </c>
    </row>
    <row r="74" spans="1:5" ht="14.4">
      <c r="A74" s="13" t="s">
        <v>185</v>
      </c>
      <c r="B74" s="13">
        <v>0</v>
      </c>
      <c r="C74" s="13">
        <v>0</v>
      </c>
      <c r="D74" s="13">
        <v>0</v>
      </c>
      <c r="E74" s="13">
        <v>1</v>
      </c>
    </row>
    <row r="75" spans="1:5" ht="14.4">
      <c r="A75" s="13" t="s">
        <v>185</v>
      </c>
      <c r="B75" s="13">
        <v>0</v>
      </c>
      <c r="C75" s="13">
        <v>1</v>
      </c>
      <c r="D75" s="13">
        <v>0</v>
      </c>
      <c r="E75" s="13">
        <v>1</v>
      </c>
    </row>
    <row r="76" spans="1:5" ht="14.4">
      <c r="A76" s="13" t="s">
        <v>185</v>
      </c>
      <c r="B76" s="13">
        <v>0</v>
      </c>
      <c r="C76" s="13">
        <v>0</v>
      </c>
      <c r="D76" s="13">
        <v>0</v>
      </c>
      <c r="E76" s="13">
        <v>1</v>
      </c>
    </row>
    <row r="77" spans="1:5" ht="14.4">
      <c r="A77" s="13" t="s">
        <v>185</v>
      </c>
      <c r="B77" s="13">
        <v>1</v>
      </c>
      <c r="C77" s="13">
        <v>0</v>
      </c>
      <c r="D77" s="13">
        <v>0</v>
      </c>
      <c r="E77" s="13">
        <v>0</v>
      </c>
    </row>
    <row r="78" spans="1:5" ht="14.4">
      <c r="A78" s="13" t="s">
        <v>185</v>
      </c>
      <c r="B78" s="13">
        <v>1</v>
      </c>
      <c r="C78" s="13">
        <v>0</v>
      </c>
      <c r="D78" s="13">
        <v>0</v>
      </c>
      <c r="E78" s="13">
        <v>1</v>
      </c>
    </row>
    <row r="79" spans="1:5" ht="14.4">
      <c r="A79" s="13" t="s">
        <v>185</v>
      </c>
      <c r="B79" s="13">
        <v>0</v>
      </c>
      <c r="C79" s="13">
        <v>1</v>
      </c>
      <c r="D79" s="13">
        <v>0</v>
      </c>
      <c r="E79" s="13">
        <v>1</v>
      </c>
    </row>
    <row r="80" spans="1:5" ht="14.4">
      <c r="A80" s="13" t="s">
        <v>185</v>
      </c>
      <c r="B80" s="13">
        <v>1</v>
      </c>
      <c r="C80" s="13">
        <v>0</v>
      </c>
      <c r="D80" s="13">
        <v>0</v>
      </c>
      <c r="E80" s="13">
        <v>0</v>
      </c>
    </row>
    <row r="81" spans="1:5" ht="14.4">
      <c r="A81" s="13" t="s">
        <v>185</v>
      </c>
      <c r="B81" s="13">
        <v>0</v>
      </c>
      <c r="C81" s="13">
        <v>1</v>
      </c>
      <c r="D81" s="13">
        <v>0</v>
      </c>
      <c r="E81" s="13">
        <v>1</v>
      </c>
    </row>
    <row r="82" spans="1:5" ht="14.4">
      <c r="A82" s="13" t="s">
        <v>185</v>
      </c>
      <c r="B82" s="13">
        <v>0</v>
      </c>
      <c r="C82" s="13">
        <v>0</v>
      </c>
      <c r="D82" s="13">
        <v>0</v>
      </c>
      <c r="E82" s="13">
        <v>1</v>
      </c>
    </row>
    <row r="83" spans="1:5" ht="14.4">
      <c r="A83" s="13" t="s">
        <v>185</v>
      </c>
      <c r="B83" s="13"/>
      <c r="C83" s="13"/>
      <c r="D83" s="13"/>
      <c r="E83" s="13">
        <v>0</v>
      </c>
    </row>
    <row r="84" spans="1:5" ht="14.4">
      <c r="A84" s="13" t="s">
        <v>185</v>
      </c>
      <c r="B84" s="13">
        <v>1</v>
      </c>
      <c r="C84" s="13">
        <v>1</v>
      </c>
      <c r="D84" s="13">
        <v>0</v>
      </c>
      <c r="E84" s="13" t="s">
        <v>492</v>
      </c>
    </row>
    <row r="85" spans="1:5" ht="14.4">
      <c r="A85" s="13" t="s">
        <v>185</v>
      </c>
      <c r="B85" s="13">
        <v>1</v>
      </c>
      <c r="C85" s="13">
        <v>0</v>
      </c>
      <c r="D85" s="13">
        <v>0</v>
      </c>
      <c r="E85" s="13">
        <v>0</v>
      </c>
    </row>
    <row r="86" spans="1:5" ht="14.4">
      <c r="A86" s="13" t="s">
        <v>185</v>
      </c>
      <c r="B86" s="13">
        <v>0</v>
      </c>
      <c r="C86" s="13">
        <v>0</v>
      </c>
      <c r="D86" s="13">
        <v>0</v>
      </c>
      <c r="E86" s="13">
        <v>1</v>
      </c>
    </row>
    <row r="87" spans="1:5" ht="14.4">
      <c r="A87" s="13" t="s">
        <v>185</v>
      </c>
      <c r="B87" s="13">
        <v>1</v>
      </c>
      <c r="C87" s="13">
        <v>1</v>
      </c>
      <c r="D87" s="13">
        <v>0</v>
      </c>
      <c r="E87" s="13">
        <v>1</v>
      </c>
    </row>
    <row r="88" spans="1:5" ht="14.4">
      <c r="A88" s="13" t="s">
        <v>185</v>
      </c>
      <c r="B88" s="13">
        <v>1</v>
      </c>
      <c r="C88" s="13">
        <v>0</v>
      </c>
      <c r="D88" s="13">
        <v>0</v>
      </c>
      <c r="E88" s="13">
        <v>1</v>
      </c>
    </row>
    <row r="89" spans="1:5" ht="14.4">
      <c r="A89" s="13" t="s">
        <v>185</v>
      </c>
      <c r="B89" s="13">
        <v>1</v>
      </c>
      <c r="C89" s="13">
        <v>1</v>
      </c>
      <c r="D89" s="13">
        <v>0</v>
      </c>
      <c r="E89" s="13">
        <v>1</v>
      </c>
    </row>
    <row r="90" spans="1:5" ht="14.4">
      <c r="A90" s="13" t="s">
        <v>185</v>
      </c>
      <c r="B90" s="13">
        <v>0</v>
      </c>
      <c r="C90" s="13">
        <v>1</v>
      </c>
      <c r="D90" s="13">
        <v>0</v>
      </c>
      <c r="E90" s="13">
        <v>1</v>
      </c>
    </row>
    <row r="91" spans="1:5" ht="14.4">
      <c r="A91" s="13" t="s">
        <v>185</v>
      </c>
      <c r="B91" s="13">
        <v>0</v>
      </c>
      <c r="C91" s="13">
        <v>0</v>
      </c>
      <c r="D91" s="13">
        <v>0</v>
      </c>
      <c r="E91" s="13">
        <v>0</v>
      </c>
    </row>
    <row r="92" spans="1:5" ht="14.4">
      <c r="A92" s="13" t="s">
        <v>185</v>
      </c>
      <c r="B92" s="13">
        <v>1</v>
      </c>
      <c r="C92" s="13">
        <v>1</v>
      </c>
      <c r="D92" s="13">
        <v>0</v>
      </c>
      <c r="E92" s="13">
        <v>1</v>
      </c>
    </row>
    <row r="93" spans="1:5" ht="14.4">
      <c r="A93" s="13" t="s">
        <v>185</v>
      </c>
      <c r="B93" s="13">
        <v>1</v>
      </c>
      <c r="C93" s="13">
        <v>0</v>
      </c>
      <c r="D93" s="13">
        <v>0</v>
      </c>
      <c r="E93" s="13">
        <v>0</v>
      </c>
    </row>
    <row r="94" spans="1:5" ht="14.4">
      <c r="A94" s="13" t="s">
        <v>185</v>
      </c>
      <c r="B94" s="13">
        <v>1</v>
      </c>
      <c r="C94" s="13">
        <v>0</v>
      </c>
      <c r="D94" s="13">
        <v>0</v>
      </c>
      <c r="E94" s="13">
        <v>1</v>
      </c>
    </row>
    <row r="95" spans="1:5" ht="14.4">
      <c r="A95" s="13" t="s">
        <v>185</v>
      </c>
      <c r="B95" s="13">
        <v>1</v>
      </c>
      <c r="C95" s="13">
        <v>0</v>
      </c>
      <c r="D95" s="13">
        <v>0</v>
      </c>
      <c r="E95" s="13">
        <v>0</v>
      </c>
    </row>
    <row r="96" spans="1:5" ht="14.4">
      <c r="A96" s="13" t="s">
        <v>185</v>
      </c>
      <c r="B96" s="13">
        <v>1</v>
      </c>
      <c r="C96" s="13">
        <v>1</v>
      </c>
      <c r="D96" s="13">
        <v>0</v>
      </c>
      <c r="E96" s="13">
        <v>1</v>
      </c>
    </row>
    <row r="97" spans="1:5" ht="14.4">
      <c r="A97" s="13" t="s">
        <v>185</v>
      </c>
      <c r="B97" s="13">
        <v>1</v>
      </c>
      <c r="C97" s="13">
        <v>1</v>
      </c>
      <c r="D97" s="13">
        <v>0</v>
      </c>
      <c r="E97" s="13">
        <v>1</v>
      </c>
    </row>
    <row r="98" spans="1:5" ht="14.4">
      <c r="A98" s="13" t="s">
        <v>185</v>
      </c>
      <c r="B98" s="13">
        <v>0</v>
      </c>
      <c r="C98" s="13">
        <v>1</v>
      </c>
      <c r="D98" s="13">
        <v>0</v>
      </c>
      <c r="E98" s="13">
        <v>1</v>
      </c>
    </row>
    <row r="99" spans="1:5" ht="14.4">
      <c r="A99" s="13" t="s">
        <v>185</v>
      </c>
      <c r="B99" s="13">
        <v>1</v>
      </c>
      <c r="C99" s="13">
        <v>0</v>
      </c>
      <c r="D99" s="13">
        <v>0</v>
      </c>
      <c r="E99" s="13">
        <v>1</v>
      </c>
    </row>
    <row r="100" spans="1:5" ht="14.4">
      <c r="A100" s="13" t="s">
        <v>185</v>
      </c>
      <c r="B100" s="13">
        <v>1</v>
      </c>
      <c r="C100" s="13">
        <v>1</v>
      </c>
      <c r="D100" s="13">
        <v>1</v>
      </c>
      <c r="E100" s="13">
        <v>0</v>
      </c>
    </row>
    <row r="101" spans="1:5" ht="14.4">
      <c r="A101" s="13" t="s">
        <v>185</v>
      </c>
      <c r="B101" s="13">
        <v>1</v>
      </c>
      <c r="C101" s="13">
        <v>1</v>
      </c>
      <c r="D101" s="13">
        <v>1</v>
      </c>
      <c r="E101" s="13">
        <v>0</v>
      </c>
    </row>
    <row r="102" spans="1:5" ht="14.4">
      <c r="A102" s="13" t="s">
        <v>185</v>
      </c>
      <c r="B102" s="13">
        <v>1</v>
      </c>
      <c r="C102" s="13">
        <v>1</v>
      </c>
      <c r="D102" s="13">
        <v>1</v>
      </c>
      <c r="E102" s="13">
        <v>1</v>
      </c>
    </row>
    <row r="103" spans="1:5" ht="14.4">
      <c r="A103" s="13" t="s">
        <v>185</v>
      </c>
      <c r="B103" s="13">
        <v>1</v>
      </c>
      <c r="C103" s="13">
        <v>0</v>
      </c>
      <c r="D103" s="13">
        <v>0</v>
      </c>
      <c r="E103" s="13">
        <v>0</v>
      </c>
    </row>
    <row r="104" spans="1:5" ht="14.4">
      <c r="A104" s="13" t="s">
        <v>185</v>
      </c>
      <c r="B104" s="13"/>
      <c r="C104" s="13"/>
      <c r="D104" s="13"/>
      <c r="E104" s="13">
        <v>0</v>
      </c>
    </row>
    <row r="105" spans="1:5" ht="14.4">
      <c r="A105" s="13" t="s">
        <v>185</v>
      </c>
      <c r="B105" s="13">
        <v>1</v>
      </c>
      <c r="C105" s="13">
        <v>1</v>
      </c>
      <c r="D105" s="13">
        <v>0</v>
      </c>
      <c r="E105" s="13">
        <v>0</v>
      </c>
    </row>
    <row r="106" spans="1:5" ht="14.4">
      <c r="A106" s="13" t="s">
        <v>185</v>
      </c>
      <c r="B106" s="13">
        <v>1</v>
      </c>
      <c r="C106" s="13">
        <v>1</v>
      </c>
      <c r="D106" s="13">
        <v>0</v>
      </c>
      <c r="E106" s="13">
        <v>0</v>
      </c>
    </row>
    <row r="107" spans="1:5" ht="14.4">
      <c r="A107" s="13" t="s">
        <v>185</v>
      </c>
      <c r="B107" s="13">
        <v>1</v>
      </c>
      <c r="C107" s="13">
        <v>1</v>
      </c>
      <c r="D107" s="13">
        <v>1</v>
      </c>
      <c r="E107" s="13">
        <v>1</v>
      </c>
    </row>
    <row r="108" spans="1:5" ht="14.4">
      <c r="A108" s="13" t="s">
        <v>185</v>
      </c>
      <c r="B108" s="13">
        <v>0</v>
      </c>
      <c r="C108" s="13">
        <v>1</v>
      </c>
      <c r="D108" s="13">
        <v>0</v>
      </c>
      <c r="E108" s="13">
        <v>1</v>
      </c>
    </row>
    <row r="109" spans="1:5" ht="14.4">
      <c r="A109" s="13" t="s">
        <v>185</v>
      </c>
      <c r="B109" s="13">
        <v>1</v>
      </c>
      <c r="C109" s="13">
        <v>1</v>
      </c>
      <c r="D109" s="13">
        <v>0</v>
      </c>
      <c r="E109" s="13">
        <v>0</v>
      </c>
    </row>
    <row r="110" spans="1:5" ht="14.4">
      <c r="A110" s="13" t="s">
        <v>185</v>
      </c>
      <c r="B110" s="13">
        <v>0</v>
      </c>
      <c r="C110" s="13">
        <v>0</v>
      </c>
      <c r="D110" s="13">
        <v>0</v>
      </c>
      <c r="E110" s="13">
        <v>1</v>
      </c>
    </row>
    <row r="111" spans="1:5" ht="14.4">
      <c r="A111" s="13" t="s">
        <v>185</v>
      </c>
      <c r="B111" s="13">
        <v>1</v>
      </c>
      <c r="C111" s="13">
        <v>1</v>
      </c>
      <c r="D111" s="13">
        <v>0</v>
      </c>
      <c r="E111" s="13">
        <v>1</v>
      </c>
    </row>
    <row r="112" spans="1:5" ht="14.4">
      <c r="A112" s="13" t="s">
        <v>185</v>
      </c>
      <c r="B112" s="13">
        <v>1</v>
      </c>
      <c r="C112" s="13">
        <v>1</v>
      </c>
      <c r="D112" s="13">
        <v>1</v>
      </c>
      <c r="E112" s="13">
        <v>1</v>
      </c>
    </row>
    <row r="113" spans="1:5" ht="14.4">
      <c r="A113" s="13" t="s">
        <v>185</v>
      </c>
      <c r="B113" s="13">
        <v>1</v>
      </c>
      <c r="C113" s="13">
        <v>0</v>
      </c>
      <c r="D113" s="13">
        <v>0</v>
      </c>
      <c r="E113" s="13">
        <v>1</v>
      </c>
    </row>
    <row r="114" spans="1:5" ht="14.4">
      <c r="A114" s="13" t="s">
        <v>185</v>
      </c>
      <c r="B114" s="13">
        <v>1</v>
      </c>
      <c r="C114" s="13">
        <v>1</v>
      </c>
      <c r="D114" s="13">
        <v>0</v>
      </c>
      <c r="E114" s="13">
        <v>0</v>
      </c>
    </row>
    <row r="115" spans="1:5" ht="14.4">
      <c r="A115" s="13" t="s">
        <v>185</v>
      </c>
      <c r="B115" s="13"/>
      <c r="C115" s="13"/>
      <c r="D115" s="13"/>
      <c r="E115" s="13">
        <v>0</v>
      </c>
    </row>
    <row r="116" spans="1:5" ht="14.4">
      <c r="A116" s="13" t="s">
        <v>185</v>
      </c>
      <c r="B116" s="13">
        <v>1</v>
      </c>
      <c r="C116" s="13">
        <v>1</v>
      </c>
      <c r="D116" s="13">
        <v>0</v>
      </c>
      <c r="E116" s="13">
        <v>0</v>
      </c>
    </row>
    <row r="117" spans="1:5" ht="14.4">
      <c r="A117" s="13" t="s">
        <v>185</v>
      </c>
      <c r="B117" s="13">
        <v>1</v>
      </c>
      <c r="C117" s="13">
        <v>1</v>
      </c>
      <c r="D117" s="13">
        <v>0</v>
      </c>
      <c r="E117" s="13">
        <v>1</v>
      </c>
    </row>
    <row r="118" spans="1:5" ht="14.4">
      <c r="A118" s="13" t="s">
        <v>185</v>
      </c>
      <c r="B118" s="13">
        <v>1</v>
      </c>
      <c r="C118" s="13">
        <v>0</v>
      </c>
      <c r="D118" s="13">
        <v>0</v>
      </c>
      <c r="E118" s="13">
        <v>0</v>
      </c>
    </row>
    <row r="119" spans="1:5" ht="14.4">
      <c r="A119" s="13" t="s">
        <v>185</v>
      </c>
      <c r="B119" s="13">
        <v>0</v>
      </c>
      <c r="C119" s="13">
        <v>1</v>
      </c>
      <c r="D119" s="13">
        <v>0</v>
      </c>
      <c r="E119" s="13">
        <v>0</v>
      </c>
    </row>
    <row r="120" spans="1:5" ht="14.4">
      <c r="A120" s="13" t="s">
        <v>185</v>
      </c>
      <c r="B120" s="13"/>
      <c r="C120" s="13"/>
      <c r="D120" s="13"/>
      <c r="E120" s="13">
        <v>0</v>
      </c>
    </row>
    <row r="121" spans="1:5" ht="14.4">
      <c r="A121" s="13" t="s">
        <v>185</v>
      </c>
      <c r="B121" s="13">
        <v>1</v>
      </c>
      <c r="C121" s="13">
        <v>1</v>
      </c>
      <c r="D121" s="13">
        <v>1</v>
      </c>
      <c r="E121" s="13">
        <v>1</v>
      </c>
    </row>
    <row r="122" spans="1:5" ht="14.4">
      <c r="A122" s="13" t="s">
        <v>185</v>
      </c>
      <c r="B122" s="13">
        <v>1</v>
      </c>
      <c r="C122" s="13">
        <v>1</v>
      </c>
      <c r="D122" s="13">
        <v>1</v>
      </c>
      <c r="E122" s="13">
        <v>1</v>
      </c>
    </row>
    <row r="123" spans="1:5" ht="14.4">
      <c r="A123" s="13" t="s">
        <v>185</v>
      </c>
      <c r="B123" s="13">
        <v>0</v>
      </c>
      <c r="C123" s="13">
        <v>1</v>
      </c>
      <c r="D123" s="13">
        <v>0</v>
      </c>
      <c r="E123" s="13">
        <v>1</v>
      </c>
    </row>
    <row r="124" spans="1:5" ht="14.4">
      <c r="A124" s="13" t="s">
        <v>185</v>
      </c>
      <c r="B124" s="13">
        <v>0</v>
      </c>
      <c r="C124" s="13">
        <v>0</v>
      </c>
      <c r="D124" s="13">
        <v>0</v>
      </c>
      <c r="E124" s="13">
        <v>0</v>
      </c>
    </row>
    <row r="125" spans="1:5" ht="14.4">
      <c r="A125" s="13" t="s">
        <v>185</v>
      </c>
      <c r="B125" s="13">
        <v>0</v>
      </c>
      <c r="C125" s="13">
        <v>0</v>
      </c>
      <c r="D125" s="13">
        <v>0</v>
      </c>
      <c r="E125" s="13">
        <v>0</v>
      </c>
    </row>
    <row r="126" spans="1:5" ht="14.4">
      <c r="A126" s="13" t="s">
        <v>185</v>
      </c>
      <c r="B126" s="13">
        <v>0</v>
      </c>
      <c r="C126" s="13">
        <v>1</v>
      </c>
      <c r="D126" s="13">
        <v>0</v>
      </c>
      <c r="E126" s="13">
        <v>1</v>
      </c>
    </row>
    <row r="127" spans="1:5" ht="14.4">
      <c r="A127" s="13" t="s">
        <v>185</v>
      </c>
      <c r="B127" s="13">
        <v>0</v>
      </c>
      <c r="C127" s="13">
        <v>1</v>
      </c>
      <c r="D127" s="13">
        <v>1</v>
      </c>
      <c r="E127" s="21">
        <v>1</v>
      </c>
    </row>
    <row r="128" spans="1:5" ht="14.4">
      <c r="A128" s="13" t="s">
        <v>185</v>
      </c>
      <c r="B128" s="13">
        <v>1</v>
      </c>
      <c r="C128" s="13">
        <v>0</v>
      </c>
      <c r="D128" s="13">
        <v>1</v>
      </c>
      <c r="E128" s="21">
        <v>0</v>
      </c>
    </row>
    <row r="129" spans="1:5" ht="14.4">
      <c r="A129" s="13" t="s">
        <v>185</v>
      </c>
      <c r="B129" s="13">
        <v>1</v>
      </c>
      <c r="C129" s="13">
        <v>1</v>
      </c>
      <c r="D129" s="13">
        <v>1</v>
      </c>
      <c r="E129" s="21">
        <v>0</v>
      </c>
    </row>
    <row r="130" spans="1:5" ht="14.4">
      <c r="A130" s="13" t="s">
        <v>185</v>
      </c>
      <c r="B130" s="13">
        <v>0</v>
      </c>
      <c r="C130" s="13">
        <v>0</v>
      </c>
      <c r="D130" s="13">
        <v>1</v>
      </c>
      <c r="E130" s="21">
        <v>1</v>
      </c>
    </row>
    <row r="131" spans="1:5" ht="14.4">
      <c r="A131" s="13" t="s">
        <v>185</v>
      </c>
      <c r="B131" s="13">
        <v>1</v>
      </c>
      <c r="C131" s="13">
        <v>0</v>
      </c>
      <c r="D131" s="13">
        <v>1</v>
      </c>
      <c r="E131" s="21">
        <v>1</v>
      </c>
    </row>
    <row r="132" spans="1:5" ht="14.4">
      <c r="A132" s="13" t="s">
        <v>185</v>
      </c>
      <c r="B132" s="13">
        <v>0</v>
      </c>
      <c r="C132" s="13">
        <v>0</v>
      </c>
      <c r="D132" s="13">
        <v>1</v>
      </c>
      <c r="E132" s="21">
        <v>1</v>
      </c>
    </row>
    <row r="133" spans="1:5" ht="14.4">
      <c r="A133" s="13" t="s">
        <v>185</v>
      </c>
      <c r="B133" s="13">
        <v>0</v>
      </c>
      <c r="C133" s="13">
        <v>0</v>
      </c>
      <c r="D133" s="13">
        <v>1</v>
      </c>
      <c r="E133" s="21">
        <v>0</v>
      </c>
    </row>
    <row r="134" spans="1:5" ht="14.4">
      <c r="A134" s="13" t="s">
        <v>185</v>
      </c>
      <c r="B134" s="13">
        <v>0</v>
      </c>
      <c r="C134" s="13">
        <v>0</v>
      </c>
      <c r="D134" s="13">
        <v>1</v>
      </c>
      <c r="E134" s="21">
        <v>1</v>
      </c>
    </row>
    <row r="135" spans="1:5" ht="14.4">
      <c r="A135" s="13" t="s">
        <v>185</v>
      </c>
      <c r="B135" s="13">
        <v>0</v>
      </c>
      <c r="C135" s="13">
        <v>0</v>
      </c>
      <c r="D135" s="13">
        <v>1</v>
      </c>
      <c r="E135" s="21">
        <v>1</v>
      </c>
    </row>
    <row r="136" spans="1:5" ht="14.4">
      <c r="A136" s="13" t="s">
        <v>185</v>
      </c>
      <c r="B136" s="13">
        <v>0</v>
      </c>
      <c r="C136" s="13">
        <v>1</v>
      </c>
      <c r="D136" s="13">
        <v>1</v>
      </c>
      <c r="E136" s="21">
        <v>1</v>
      </c>
    </row>
    <row r="137" spans="1:5" ht="14.4">
      <c r="A137" s="13" t="s">
        <v>185</v>
      </c>
      <c r="B137" s="13">
        <v>0</v>
      </c>
      <c r="C137" s="13">
        <v>0</v>
      </c>
      <c r="D137" s="13">
        <v>1</v>
      </c>
      <c r="E137" s="21">
        <v>1</v>
      </c>
    </row>
    <row r="138" spans="1:5" ht="14.4">
      <c r="A138" s="13" t="s">
        <v>185</v>
      </c>
      <c r="B138" s="13">
        <v>1</v>
      </c>
      <c r="C138" s="13">
        <v>0</v>
      </c>
      <c r="D138" s="13">
        <v>1</v>
      </c>
      <c r="E138" s="21">
        <v>0</v>
      </c>
    </row>
    <row r="139" spans="1:5" ht="14.4">
      <c r="A139" s="13" t="s">
        <v>185</v>
      </c>
      <c r="B139" s="13">
        <v>1</v>
      </c>
      <c r="C139" s="13">
        <v>1</v>
      </c>
      <c r="D139" s="13">
        <v>1</v>
      </c>
      <c r="E139" s="21">
        <v>1</v>
      </c>
    </row>
    <row r="140" spans="1:5" ht="14.4">
      <c r="A140" s="13" t="s">
        <v>185</v>
      </c>
      <c r="B140" s="13">
        <v>1</v>
      </c>
      <c r="C140" s="13">
        <v>0</v>
      </c>
      <c r="D140" s="13">
        <v>0</v>
      </c>
      <c r="E140" s="21">
        <v>0</v>
      </c>
    </row>
    <row r="141" spans="1:5" ht="14.4">
      <c r="A141" s="13" t="s">
        <v>185</v>
      </c>
      <c r="B141" s="13">
        <v>0</v>
      </c>
      <c r="C141" s="13">
        <v>0</v>
      </c>
      <c r="D141" s="13">
        <v>0</v>
      </c>
      <c r="E141" s="21">
        <v>0</v>
      </c>
    </row>
    <row r="142" spans="1:5" ht="14.4">
      <c r="A142" s="13" t="s">
        <v>185</v>
      </c>
      <c r="B142" s="13">
        <v>0</v>
      </c>
      <c r="C142" s="13">
        <v>1</v>
      </c>
      <c r="D142" s="13">
        <v>0</v>
      </c>
      <c r="E142" s="21">
        <v>1</v>
      </c>
    </row>
    <row r="143" spans="1:5" ht="14.4">
      <c r="A143" s="13" t="s">
        <v>185</v>
      </c>
      <c r="B143" s="13">
        <v>0</v>
      </c>
      <c r="C143" s="13">
        <v>0</v>
      </c>
      <c r="D143" s="13">
        <v>0</v>
      </c>
      <c r="E143" s="21">
        <v>0</v>
      </c>
    </row>
    <row r="144" spans="1:5" ht="14.4">
      <c r="A144" s="13" t="s">
        <v>185</v>
      </c>
      <c r="B144" s="13">
        <v>1</v>
      </c>
      <c r="C144" s="13">
        <v>0</v>
      </c>
      <c r="D144" s="13">
        <v>0</v>
      </c>
      <c r="E144" s="21">
        <v>1</v>
      </c>
    </row>
    <row r="145" spans="1:5" ht="14.4">
      <c r="A145" s="13" t="s">
        <v>185</v>
      </c>
      <c r="B145" s="13">
        <v>0</v>
      </c>
      <c r="C145" s="13">
        <v>1</v>
      </c>
      <c r="D145" s="13">
        <v>0</v>
      </c>
      <c r="E145" s="21">
        <v>1</v>
      </c>
    </row>
    <row r="146" spans="1:5" ht="14.4">
      <c r="A146" s="13" t="s">
        <v>185</v>
      </c>
      <c r="B146" s="13">
        <v>1</v>
      </c>
      <c r="C146" s="13">
        <v>1</v>
      </c>
      <c r="D146" s="13">
        <v>0</v>
      </c>
      <c r="E146" s="21">
        <v>1</v>
      </c>
    </row>
    <row r="147" spans="1:5" ht="14.4">
      <c r="A147" s="13" t="s">
        <v>185</v>
      </c>
      <c r="B147" s="13">
        <v>1</v>
      </c>
      <c r="C147" s="13">
        <v>0</v>
      </c>
      <c r="D147" s="13">
        <v>0</v>
      </c>
      <c r="E147" s="21">
        <v>1</v>
      </c>
    </row>
    <row r="148" spans="1:5" ht="14.4">
      <c r="A148" s="13" t="s">
        <v>185</v>
      </c>
      <c r="B148" s="13">
        <v>1</v>
      </c>
      <c r="C148" s="13">
        <v>0</v>
      </c>
      <c r="D148" s="13">
        <v>0</v>
      </c>
      <c r="E148" s="21">
        <v>0</v>
      </c>
    </row>
    <row r="149" spans="1:5" ht="14.4">
      <c r="A149" s="13" t="s">
        <v>185</v>
      </c>
      <c r="B149" s="13">
        <v>0</v>
      </c>
      <c r="C149" s="13">
        <v>0</v>
      </c>
      <c r="D149" s="13">
        <v>0</v>
      </c>
      <c r="E149" s="21">
        <v>0</v>
      </c>
    </row>
    <row r="150" spans="1:5" ht="14.4">
      <c r="A150" s="13" t="s">
        <v>185</v>
      </c>
      <c r="B150" s="13">
        <v>1</v>
      </c>
      <c r="C150" s="13">
        <v>1</v>
      </c>
      <c r="D150" s="13">
        <v>1</v>
      </c>
      <c r="E150" s="21">
        <v>1</v>
      </c>
    </row>
    <row r="151" spans="1:5" ht="14.4">
      <c r="A151" s="13" t="s">
        <v>185</v>
      </c>
      <c r="B151" s="13">
        <v>1</v>
      </c>
      <c r="C151" s="13">
        <v>1</v>
      </c>
      <c r="D151" s="13">
        <v>1</v>
      </c>
      <c r="E151" s="21">
        <v>1</v>
      </c>
    </row>
    <row r="152" spans="1:5" ht="14.4">
      <c r="A152" s="13" t="s">
        <v>185</v>
      </c>
      <c r="B152" s="13">
        <v>1</v>
      </c>
      <c r="C152" s="13">
        <v>0</v>
      </c>
      <c r="D152" s="13">
        <v>0</v>
      </c>
      <c r="E152" s="21">
        <v>0</v>
      </c>
    </row>
    <row r="153" spans="1:5" ht="14.4">
      <c r="A153" s="13" t="s">
        <v>185</v>
      </c>
      <c r="B153" s="13">
        <v>0</v>
      </c>
      <c r="C153" s="13">
        <v>1</v>
      </c>
      <c r="D153" s="13">
        <v>0</v>
      </c>
      <c r="E153" s="21">
        <v>0</v>
      </c>
    </row>
    <row r="154" spans="1:5" ht="14.4">
      <c r="A154" s="13" t="s">
        <v>185</v>
      </c>
      <c r="B154" s="13">
        <v>1</v>
      </c>
      <c r="C154" s="13">
        <v>0</v>
      </c>
      <c r="D154" s="13">
        <v>0</v>
      </c>
      <c r="E154" s="21">
        <v>0</v>
      </c>
    </row>
    <row r="155" spans="1:5" ht="14.4">
      <c r="A155" s="13" t="s">
        <v>185</v>
      </c>
      <c r="B155" s="13">
        <v>0</v>
      </c>
      <c r="C155" s="13">
        <v>1</v>
      </c>
      <c r="D155" s="13">
        <v>1</v>
      </c>
      <c r="E155" s="21">
        <v>0</v>
      </c>
    </row>
    <row r="156" spans="1:5" ht="14.4">
      <c r="A156" s="13" t="s">
        <v>185</v>
      </c>
      <c r="B156" s="13">
        <v>1</v>
      </c>
      <c r="C156" s="13">
        <v>1</v>
      </c>
      <c r="D156" s="13">
        <v>1</v>
      </c>
      <c r="E156" s="21">
        <v>1</v>
      </c>
    </row>
    <row r="157" spans="1:5" ht="14.4">
      <c r="A157" s="13" t="s">
        <v>185</v>
      </c>
      <c r="B157" s="13">
        <v>1</v>
      </c>
      <c r="C157" s="13">
        <v>0</v>
      </c>
      <c r="D157" s="13">
        <v>1</v>
      </c>
      <c r="E157" s="21">
        <v>1</v>
      </c>
    </row>
    <row r="158" spans="1:5" ht="14.4">
      <c r="A158" s="13" t="s">
        <v>185</v>
      </c>
      <c r="B158" s="13">
        <v>1</v>
      </c>
      <c r="C158" s="13">
        <v>1</v>
      </c>
      <c r="D158" s="13">
        <v>0</v>
      </c>
      <c r="E158" s="21">
        <v>1</v>
      </c>
    </row>
    <row r="159" spans="1:5" ht="14.4">
      <c r="A159" s="13" t="s">
        <v>185</v>
      </c>
      <c r="B159" s="13">
        <v>1</v>
      </c>
      <c r="C159" s="13">
        <v>1</v>
      </c>
      <c r="D159" s="13">
        <v>0</v>
      </c>
      <c r="E159" s="21">
        <v>0</v>
      </c>
    </row>
    <row r="160" spans="1:5" ht="14.4">
      <c r="A160" s="13" t="s">
        <v>185</v>
      </c>
      <c r="B160" s="13">
        <v>1</v>
      </c>
      <c r="C160" s="13">
        <v>0</v>
      </c>
      <c r="D160" s="13">
        <v>0</v>
      </c>
      <c r="E160" s="21">
        <v>0</v>
      </c>
    </row>
    <row r="161" spans="1:5" ht="14.4">
      <c r="A161" s="13" t="s">
        <v>185</v>
      </c>
      <c r="B161" s="13">
        <v>1</v>
      </c>
      <c r="C161" s="13">
        <v>0</v>
      </c>
      <c r="D161" s="13">
        <v>0</v>
      </c>
      <c r="E161" s="21">
        <v>0</v>
      </c>
    </row>
    <row r="162" spans="1:5" ht="14.4">
      <c r="A162" s="13" t="s">
        <v>185</v>
      </c>
      <c r="B162" s="13">
        <v>1</v>
      </c>
      <c r="C162" s="13">
        <v>0</v>
      </c>
      <c r="D162" s="13">
        <v>0</v>
      </c>
      <c r="E162" s="21">
        <v>1</v>
      </c>
    </row>
    <row r="163" spans="1:5" ht="14.4">
      <c r="A163" s="13" t="s">
        <v>185</v>
      </c>
      <c r="B163" s="13">
        <v>1</v>
      </c>
      <c r="C163" s="13">
        <v>1</v>
      </c>
      <c r="D163" s="13">
        <v>1</v>
      </c>
      <c r="E163" s="21">
        <v>1</v>
      </c>
    </row>
    <row r="164" spans="1:5" ht="14.4">
      <c r="A164" s="13" t="s">
        <v>185</v>
      </c>
      <c r="B164" s="13">
        <v>0</v>
      </c>
      <c r="C164" s="13">
        <v>1</v>
      </c>
      <c r="D164" s="13">
        <v>1</v>
      </c>
      <c r="E164" s="21">
        <v>1</v>
      </c>
    </row>
    <row r="165" spans="1:5" ht="14.4">
      <c r="A165" s="13" t="s">
        <v>185</v>
      </c>
      <c r="B165" s="13">
        <v>0</v>
      </c>
      <c r="C165" s="13">
        <v>0</v>
      </c>
      <c r="D165" s="13">
        <v>0</v>
      </c>
      <c r="E165" s="21">
        <v>0</v>
      </c>
    </row>
    <row r="166" spans="1:5" ht="14.4">
      <c r="A166" s="13" t="s">
        <v>185</v>
      </c>
      <c r="B166" s="13">
        <v>0</v>
      </c>
      <c r="C166" s="13">
        <v>1</v>
      </c>
      <c r="D166" s="13">
        <v>0</v>
      </c>
      <c r="E166" s="21">
        <v>1</v>
      </c>
    </row>
    <row r="167" spans="1:5" ht="14.4">
      <c r="A167" s="13" t="s">
        <v>185</v>
      </c>
      <c r="B167" s="13">
        <v>0</v>
      </c>
      <c r="C167" s="13">
        <v>1</v>
      </c>
      <c r="D167" s="13">
        <v>0</v>
      </c>
      <c r="E167" s="21">
        <v>1</v>
      </c>
    </row>
    <row r="168" spans="1:5" ht="14.4">
      <c r="A168" s="13" t="s">
        <v>185</v>
      </c>
      <c r="B168" s="13">
        <v>0</v>
      </c>
      <c r="C168" s="13">
        <v>1</v>
      </c>
      <c r="D168" s="13">
        <v>0</v>
      </c>
      <c r="E168" s="21">
        <v>1</v>
      </c>
    </row>
    <row r="169" spans="1:5" ht="14.4">
      <c r="A169" s="13" t="s">
        <v>185</v>
      </c>
      <c r="B169" s="13">
        <v>1</v>
      </c>
      <c r="C169" s="13">
        <v>0</v>
      </c>
      <c r="D169" s="13">
        <v>0</v>
      </c>
      <c r="E169" s="21">
        <v>0</v>
      </c>
    </row>
    <row r="170" spans="1:5" ht="14.4">
      <c r="A170" s="13" t="s">
        <v>185</v>
      </c>
      <c r="B170" s="13">
        <v>0</v>
      </c>
      <c r="C170" s="13">
        <v>1</v>
      </c>
      <c r="D170" s="13">
        <v>0</v>
      </c>
      <c r="E170" s="21">
        <v>1</v>
      </c>
    </row>
    <row r="171" spans="1:5" ht="14.4">
      <c r="A171" s="13" t="s">
        <v>185</v>
      </c>
      <c r="B171" s="13">
        <v>0</v>
      </c>
      <c r="C171" s="13">
        <v>0</v>
      </c>
      <c r="D171" s="13">
        <v>0</v>
      </c>
      <c r="E171" s="21">
        <v>0</v>
      </c>
    </row>
    <row r="172" spans="1:5" ht="14.4">
      <c r="A172" s="13" t="s">
        <v>185</v>
      </c>
      <c r="B172" s="13">
        <v>0</v>
      </c>
      <c r="C172" s="13">
        <v>1</v>
      </c>
      <c r="D172" s="13">
        <v>0</v>
      </c>
      <c r="E172" s="21">
        <v>1</v>
      </c>
    </row>
    <row r="173" spans="1:5" ht="14.4">
      <c r="A173" s="13" t="s">
        <v>185</v>
      </c>
      <c r="B173" s="13">
        <v>1</v>
      </c>
      <c r="C173" s="13">
        <v>0</v>
      </c>
      <c r="D173" s="13">
        <v>1</v>
      </c>
      <c r="E173" s="21">
        <v>1</v>
      </c>
    </row>
    <row r="174" spans="1:5" ht="14.4">
      <c r="A174" s="13" t="s">
        <v>185</v>
      </c>
      <c r="B174" s="13">
        <v>1</v>
      </c>
      <c r="C174" s="13">
        <v>1</v>
      </c>
      <c r="D174" s="13">
        <v>0</v>
      </c>
      <c r="E174" s="21">
        <v>1</v>
      </c>
    </row>
    <row r="175" spans="1:5" ht="14.4">
      <c r="A175" s="13" t="s">
        <v>185</v>
      </c>
      <c r="B175" s="13">
        <v>1</v>
      </c>
      <c r="C175" s="13">
        <v>1</v>
      </c>
      <c r="D175" s="13">
        <v>1</v>
      </c>
      <c r="E175" s="21">
        <v>1</v>
      </c>
    </row>
    <row r="176" spans="1:5" ht="14.4">
      <c r="A176" s="13" t="s">
        <v>185</v>
      </c>
      <c r="B176" s="13">
        <v>1</v>
      </c>
      <c r="C176" s="13">
        <v>0</v>
      </c>
      <c r="D176" s="13">
        <v>0</v>
      </c>
      <c r="E176" s="21">
        <v>0</v>
      </c>
    </row>
    <row r="177" spans="1:5" ht="14.4">
      <c r="A177" s="13" t="s">
        <v>185</v>
      </c>
      <c r="B177" s="13">
        <v>0</v>
      </c>
      <c r="C177" s="13">
        <v>0</v>
      </c>
      <c r="D177" s="13">
        <v>0</v>
      </c>
      <c r="E177" s="21">
        <v>0</v>
      </c>
    </row>
    <row r="178" spans="1:5" ht="14.4">
      <c r="A178" s="13" t="s">
        <v>185</v>
      </c>
      <c r="B178" s="13">
        <v>1</v>
      </c>
      <c r="C178" s="13">
        <v>0</v>
      </c>
      <c r="D178" s="13">
        <v>0</v>
      </c>
      <c r="E178" s="21">
        <v>1</v>
      </c>
    </row>
    <row r="179" spans="1:5" ht="14.4">
      <c r="A179" s="13" t="s">
        <v>185</v>
      </c>
      <c r="B179" s="13">
        <v>0</v>
      </c>
      <c r="C179" s="13">
        <v>1</v>
      </c>
      <c r="D179" s="13">
        <v>0</v>
      </c>
      <c r="E179" s="21">
        <v>0</v>
      </c>
    </row>
    <row r="180" spans="1:5" ht="14.4">
      <c r="A180" s="13" t="s">
        <v>445</v>
      </c>
      <c r="B180" s="13">
        <v>1</v>
      </c>
      <c r="C180" s="13">
        <v>1</v>
      </c>
      <c r="D180" s="13">
        <v>0</v>
      </c>
      <c r="E180" s="21">
        <v>0</v>
      </c>
    </row>
    <row r="181" spans="1:5" ht="14.4">
      <c r="A181" s="13" t="s">
        <v>445</v>
      </c>
      <c r="B181" s="13">
        <v>0</v>
      </c>
      <c r="C181" s="13">
        <v>0</v>
      </c>
      <c r="D181" s="13">
        <v>0</v>
      </c>
      <c r="E181" s="21">
        <v>0</v>
      </c>
    </row>
    <row r="182" spans="1:5" ht="14.4">
      <c r="A182" s="13" t="s">
        <v>455</v>
      </c>
      <c r="B182" s="13">
        <v>1</v>
      </c>
      <c r="C182" s="13">
        <v>1</v>
      </c>
      <c r="D182" s="13">
        <v>1</v>
      </c>
      <c r="E182" s="21">
        <v>1</v>
      </c>
    </row>
    <row r="183" spans="1:5" ht="14.4">
      <c r="A183" s="13" t="s">
        <v>482</v>
      </c>
      <c r="B183" s="13">
        <v>0</v>
      </c>
      <c r="C183" s="13">
        <v>0</v>
      </c>
      <c r="D183" s="13">
        <v>0</v>
      </c>
      <c r="E183" s="13">
        <v>0</v>
      </c>
    </row>
    <row r="184" spans="1:5" ht="14.4">
      <c r="A184" s="13" t="s">
        <v>482</v>
      </c>
      <c r="B184" s="13">
        <v>1</v>
      </c>
      <c r="C184" s="13">
        <v>0</v>
      </c>
      <c r="D184" s="13">
        <v>0</v>
      </c>
      <c r="E184" s="13">
        <v>0</v>
      </c>
    </row>
    <row r="185" spans="1:5" ht="14.4">
      <c r="A185" s="13" t="s">
        <v>482</v>
      </c>
      <c r="B185" s="13">
        <v>1</v>
      </c>
      <c r="C185" s="13">
        <v>0</v>
      </c>
      <c r="D185" s="13">
        <v>0</v>
      </c>
      <c r="E185" s="13">
        <v>0</v>
      </c>
    </row>
    <row r="186" spans="1:5" ht="14.4">
      <c r="A186" s="13" t="s">
        <v>482</v>
      </c>
      <c r="B186" s="13">
        <v>1</v>
      </c>
      <c r="C186" s="13">
        <v>0</v>
      </c>
      <c r="D186" s="13">
        <v>0</v>
      </c>
      <c r="E186" s="13">
        <v>0</v>
      </c>
    </row>
    <row r="187" spans="1:5" ht="14.4">
      <c r="A187" s="13" t="s">
        <v>490</v>
      </c>
      <c r="B187" s="13">
        <v>1</v>
      </c>
      <c r="C187" s="13">
        <v>0</v>
      </c>
      <c r="D187" s="13">
        <v>0</v>
      </c>
      <c r="E187" s="13">
        <v>0</v>
      </c>
    </row>
    <row r="188" spans="1:5" ht="14.4">
      <c r="A188" s="13" t="s">
        <v>490</v>
      </c>
      <c r="B188" s="13">
        <v>1</v>
      </c>
      <c r="C188" s="13">
        <v>0</v>
      </c>
      <c r="D188" s="13">
        <v>0</v>
      </c>
      <c r="E188" s="13">
        <v>0</v>
      </c>
    </row>
    <row r="189" spans="1:5" ht="14.4">
      <c r="A189" s="13" t="s">
        <v>490</v>
      </c>
      <c r="B189" s="13">
        <v>1</v>
      </c>
      <c r="C189" s="13">
        <v>0</v>
      </c>
      <c r="D189" s="13">
        <v>0</v>
      </c>
      <c r="E189" s="13">
        <v>0</v>
      </c>
    </row>
    <row r="190" spans="1:5" ht="14.4">
      <c r="A190" s="13" t="s">
        <v>490</v>
      </c>
      <c r="B190" s="13">
        <v>0</v>
      </c>
      <c r="C190" s="13">
        <v>0</v>
      </c>
      <c r="D190" s="13">
        <v>0</v>
      </c>
      <c r="E190" s="13">
        <v>0</v>
      </c>
    </row>
  </sheetData>
  <mergeCells count="4">
    <mergeCell ref="G1:I1"/>
    <mergeCell ref="K1:L1"/>
    <mergeCell ref="N1:O1"/>
    <mergeCell ref="G9:H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0"/>
  <sheetViews>
    <sheetView workbookViewId="0">
      <selection activeCell="B2" sqref="B2"/>
    </sheetView>
  </sheetViews>
  <sheetFormatPr defaultRowHeight="13.2"/>
  <cols>
    <col min="1" max="1" width="10.6640625" customWidth="1"/>
    <col min="2" max="2" width="14.88671875" customWidth="1"/>
    <col min="3" max="3" width="11.88671875" customWidth="1"/>
    <col min="4" max="4" width="14" customWidth="1"/>
    <col min="5" max="5" width="16" customWidth="1"/>
    <col min="6" max="6" width="15.33203125" customWidth="1"/>
    <col min="7" max="7" width="18.5546875" customWidth="1"/>
  </cols>
  <sheetData>
    <row r="1" spans="1:7" ht="14.4">
      <c r="A1" t="s">
        <v>496</v>
      </c>
      <c r="B1" s="13" t="s">
        <v>0</v>
      </c>
      <c r="C1" s="13" t="s">
        <v>2</v>
      </c>
      <c r="D1" s="13" t="s">
        <v>3</v>
      </c>
      <c r="E1" s="13" t="s">
        <v>4</v>
      </c>
      <c r="F1" s="13" t="s">
        <v>491</v>
      </c>
      <c r="G1" s="13" t="s">
        <v>115</v>
      </c>
    </row>
    <row r="2" spans="1:7" ht="14.4">
      <c r="A2">
        <v>1</v>
      </c>
      <c r="B2" s="14"/>
      <c r="C2" s="13">
        <v>1</v>
      </c>
      <c r="D2" s="13">
        <v>0</v>
      </c>
      <c r="E2" s="13">
        <v>0</v>
      </c>
      <c r="F2" s="13">
        <v>1</v>
      </c>
      <c r="G2" s="13" t="s">
        <v>116</v>
      </c>
    </row>
    <row r="3" spans="1:7" ht="14.4">
      <c r="A3">
        <f>A2+1</f>
        <v>2</v>
      </c>
      <c r="B3" s="14">
        <v>2</v>
      </c>
      <c r="C3" s="13">
        <v>1</v>
      </c>
      <c r="D3" s="13">
        <v>0</v>
      </c>
      <c r="E3" s="13">
        <v>1</v>
      </c>
      <c r="F3" s="13">
        <v>1</v>
      </c>
      <c r="G3" s="13" t="s">
        <v>117</v>
      </c>
    </row>
    <row r="4" spans="1:7" ht="14.4">
      <c r="A4">
        <f t="shared" ref="A4:A67" si="0">A3+1</f>
        <v>3</v>
      </c>
      <c r="B4" s="14">
        <v>3</v>
      </c>
      <c r="C4" s="13">
        <v>1</v>
      </c>
      <c r="D4" s="13">
        <v>0</v>
      </c>
      <c r="E4" s="13">
        <v>0</v>
      </c>
      <c r="F4" s="13">
        <v>1</v>
      </c>
      <c r="G4" s="13" t="s">
        <v>118</v>
      </c>
    </row>
    <row r="5" spans="1:7" ht="14.4">
      <c r="A5">
        <f t="shared" si="0"/>
        <v>4</v>
      </c>
      <c r="B5" s="14">
        <v>4</v>
      </c>
      <c r="C5" s="13">
        <v>1</v>
      </c>
      <c r="D5" s="13">
        <v>0</v>
      </c>
      <c r="E5" s="13">
        <v>1</v>
      </c>
      <c r="F5" s="13">
        <v>1</v>
      </c>
      <c r="G5" s="13" t="s">
        <v>119</v>
      </c>
    </row>
    <row r="6" spans="1:7" ht="14.4">
      <c r="A6">
        <f t="shared" si="0"/>
        <v>5</v>
      </c>
      <c r="B6" s="14">
        <v>5</v>
      </c>
      <c r="C6" s="13">
        <v>0</v>
      </c>
      <c r="D6" s="13">
        <v>1</v>
      </c>
      <c r="E6" s="13">
        <v>1</v>
      </c>
      <c r="F6" s="13">
        <v>1</v>
      </c>
      <c r="G6" s="13" t="s">
        <v>120</v>
      </c>
    </row>
    <row r="7" spans="1:7" ht="14.4">
      <c r="A7">
        <f t="shared" si="0"/>
        <v>6</v>
      </c>
      <c r="B7" s="14">
        <v>6</v>
      </c>
      <c r="C7" s="13">
        <v>0</v>
      </c>
      <c r="D7" s="13">
        <v>0</v>
      </c>
      <c r="E7" s="13">
        <v>1</v>
      </c>
      <c r="F7" s="13">
        <v>1</v>
      </c>
      <c r="G7" s="13" t="s">
        <v>121</v>
      </c>
    </row>
    <row r="8" spans="1:7" ht="14.4">
      <c r="A8">
        <f t="shared" si="0"/>
        <v>7</v>
      </c>
      <c r="B8" s="14">
        <v>7</v>
      </c>
      <c r="C8" s="13">
        <v>0</v>
      </c>
      <c r="D8" s="13">
        <v>0</v>
      </c>
      <c r="E8" s="13">
        <v>1</v>
      </c>
      <c r="F8" s="13">
        <v>0</v>
      </c>
      <c r="G8" s="13" t="s">
        <v>122</v>
      </c>
    </row>
    <row r="9" spans="1:7" ht="14.4">
      <c r="A9">
        <f t="shared" si="0"/>
        <v>8</v>
      </c>
      <c r="B9" s="14">
        <v>9</v>
      </c>
      <c r="C9" s="13">
        <v>0</v>
      </c>
      <c r="D9" s="13">
        <v>0</v>
      </c>
      <c r="E9" s="13">
        <v>1</v>
      </c>
      <c r="F9" s="13">
        <v>1</v>
      </c>
      <c r="G9" s="13" t="s">
        <v>123</v>
      </c>
    </row>
    <row r="10" spans="1:7" ht="14.4">
      <c r="A10">
        <f t="shared" si="0"/>
        <v>9</v>
      </c>
      <c r="B10" s="14">
        <v>10</v>
      </c>
      <c r="C10" s="13">
        <v>1</v>
      </c>
      <c r="D10" s="13">
        <v>1</v>
      </c>
      <c r="E10" s="13">
        <v>1</v>
      </c>
      <c r="F10" s="13">
        <v>1</v>
      </c>
      <c r="G10" s="13" t="s">
        <v>124</v>
      </c>
    </row>
    <row r="11" spans="1:7" ht="14.4">
      <c r="A11">
        <f t="shared" si="0"/>
        <v>10</v>
      </c>
      <c r="B11" s="14">
        <v>12</v>
      </c>
      <c r="C11" s="13">
        <v>1</v>
      </c>
      <c r="D11" s="13">
        <v>0</v>
      </c>
      <c r="E11" s="13">
        <v>1</v>
      </c>
      <c r="F11" s="13">
        <v>0</v>
      </c>
      <c r="G11" s="13" t="s">
        <v>125</v>
      </c>
    </row>
    <row r="12" spans="1:7" ht="14.4">
      <c r="A12">
        <f t="shared" si="0"/>
        <v>11</v>
      </c>
      <c r="B12" s="14">
        <v>13</v>
      </c>
      <c r="C12" s="13">
        <v>1</v>
      </c>
      <c r="D12" s="13">
        <v>0</v>
      </c>
      <c r="E12" s="13">
        <v>1</v>
      </c>
      <c r="F12" s="13">
        <v>1</v>
      </c>
      <c r="G12" s="13" t="s">
        <v>126</v>
      </c>
    </row>
    <row r="13" spans="1:7" ht="14.4">
      <c r="A13">
        <f t="shared" si="0"/>
        <v>12</v>
      </c>
      <c r="B13" s="14">
        <v>14</v>
      </c>
      <c r="C13" s="13">
        <v>0</v>
      </c>
      <c r="D13" s="13">
        <v>0</v>
      </c>
      <c r="E13" s="13">
        <v>1</v>
      </c>
      <c r="F13" s="13">
        <v>1</v>
      </c>
      <c r="G13" s="13" t="s">
        <v>127</v>
      </c>
    </row>
    <row r="14" spans="1:7" ht="14.4">
      <c r="A14">
        <f t="shared" si="0"/>
        <v>13</v>
      </c>
      <c r="B14" s="14">
        <v>16</v>
      </c>
      <c r="C14" s="13">
        <v>0</v>
      </c>
      <c r="D14" s="13">
        <v>0</v>
      </c>
      <c r="E14" s="13">
        <v>1</v>
      </c>
      <c r="F14" s="13">
        <v>1</v>
      </c>
      <c r="G14" s="13" t="s">
        <v>128</v>
      </c>
    </row>
    <row r="15" spans="1:7" ht="14.4">
      <c r="A15">
        <f t="shared" si="0"/>
        <v>14</v>
      </c>
      <c r="B15" s="14">
        <v>19</v>
      </c>
      <c r="C15" s="13">
        <v>1</v>
      </c>
      <c r="D15" s="13">
        <v>0</v>
      </c>
      <c r="E15" s="13">
        <v>1</v>
      </c>
      <c r="F15" s="13">
        <v>0</v>
      </c>
      <c r="G15" s="13" t="s">
        <v>129</v>
      </c>
    </row>
    <row r="16" spans="1:7" ht="14.4">
      <c r="A16">
        <f t="shared" si="0"/>
        <v>15</v>
      </c>
      <c r="B16" s="14">
        <v>20</v>
      </c>
      <c r="C16" s="13">
        <v>0</v>
      </c>
      <c r="D16" s="13">
        <v>0</v>
      </c>
      <c r="E16" s="13">
        <v>1</v>
      </c>
      <c r="F16" s="13">
        <v>1</v>
      </c>
      <c r="G16" s="13" t="s">
        <v>130</v>
      </c>
    </row>
    <row r="17" spans="1:7" ht="14.4">
      <c r="A17">
        <f t="shared" si="0"/>
        <v>16</v>
      </c>
      <c r="B17" s="14">
        <v>21</v>
      </c>
      <c r="C17" s="13">
        <v>1</v>
      </c>
      <c r="D17" s="13">
        <v>0</v>
      </c>
      <c r="E17" s="13">
        <v>1</v>
      </c>
      <c r="F17" s="13">
        <v>1</v>
      </c>
      <c r="G17" s="13" t="s">
        <v>131</v>
      </c>
    </row>
    <row r="18" spans="1:7" ht="14.4">
      <c r="A18">
        <f t="shared" si="0"/>
        <v>17</v>
      </c>
      <c r="B18" s="14">
        <v>23</v>
      </c>
      <c r="C18" s="13">
        <v>0</v>
      </c>
      <c r="D18" s="13">
        <v>0</v>
      </c>
      <c r="E18" s="13">
        <v>1</v>
      </c>
      <c r="F18" s="13">
        <v>1</v>
      </c>
      <c r="G18" s="13" t="s">
        <v>132</v>
      </c>
    </row>
    <row r="19" spans="1:7" ht="14.4">
      <c r="A19">
        <f t="shared" si="0"/>
        <v>18</v>
      </c>
      <c r="B19" s="14">
        <v>25</v>
      </c>
      <c r="C19" s="13">
        <v>1</v>
      </c>
      <c r="D19" s="13">
        <v>0</v>
      </c>
      <c r="E19" s="13">
        <v>1</v>
      </c>
      <c r="F19" s="13">
        <v>1</v>
      </c>
      <c r="G19" s="13" t="s">
        <v>133</v>
      </c>
    </row>
    <row r="20" spans="1:7" ht="14.4">
      <c r="A20">
        <f t="shared" si="0"/>
        <v>19</v>
      </c>
      <c r="B20" s="14">
        <v>26</v>
      </c>
      <c r="C20" s="13">
        <v>1</v>
      </c>
      <c r="D20" s="13">
        <v>0</v>
      </c>
      <c r="E20" s="13">
        <v>1</v>
      </c>
      <c r="F20" s="13">
        <v>0</v>
      </c>
      <c r="G20" s="13" t="s">
        <v>134</v>
      </c>
    </row>
    <row r="21" spans="1:7" ht="14.4">
      <c r="A21">
        <f t="shared" si="0"/>
        <v>20</v>
      </c>
      <c r="B21" s="14">
        <v>27</v>
      </c>
      <c r="C21" s="13">
        <v>0</v>
      </c>
      <c r="D21" s="13">
        <v>0</v>
      </c>
      <c r="E21" s="13">
        <v>1</v>
      </c>
      <c r="F21" s="13">
        <v>1</v>
      </c>
      <c r="G21" s="13" t="s">
        <v>135</v>
      </c>
    </row>
    <row r="22" spans="1:7" ht="14.4">
      <c r="A22">
        <f t="shared" si="0"/>
        <v>21</v>
      </c>
      <c r="B22" s="14">
        <v>28</v>
      </c>
      <c r="C22" s="13">
        <v>1</v>
      </c>
      <c r="D22" s="13">
        <v>0</v>
      </c>
      <c r="E22" s="13">
        <v>1</v>
      </c>
      <c r="F22" s="13">
        <v>1</v>
      </c>
      <c r="G22" s="13" t="s">
        <v>136</v>
      </c>
    </row>
    <row r="23" spans="1:7" ht="14.4">
      <c r="A23">
        <f t="shared" si="0"/>
        <v>22</v>
      </c>
      <c r="B23" s="14">
        <v>29</v>
      </c>
      <c r="C23" s="13">
        <v>0</v>
      </c>
      <c r="D23" s="13">
        <v>0</v>
      </c>
      <c r="E23" s="13">
        <v>1</v>
      </c>
      <c r="F23" s="13">
        <v>1</v>
      </c>
      <c r="G23" s="13" t="s">
        <v>137</v>
      </c>
    </row>
    <row r="24" spans="1:7" ht="14.4">
      <c r="A24">
        <f t="shared" si="0"/>
        <v>23</v>
      </c>
      <c r="B24" s="14">
        <v>30</v>
      </c>
      <c r="C24" s="13">
        <v>1</v>
      </c>
      <c r="D24" s="13">
        <v>0</v>
      </c>
      <c r="E24" s="13">
        <v>1</v>
      </c>
      <c r="F24" s="13">
        <v>0</v>
      </c>
      <c r="G24" s="13" t="s">
        <v>138</v>
      </c>
    </row>
    <row r="25" spans="1:7" ht="14.4">
      <c r="A25">
        <f t="shared" si="0"/>
        <v>24</v>
      </c>
      <c r="B25" s="14">
        <v>31</v>
      </c>
      <c r="C25" s="13">
        <v>1</v>
      </c>
      <c r="D25" s="13">
        <v>0</v>
      </c>
      <c r="E25" s="13">
        <v>1</v>
      </c>
      <c r="F25" s="13">
        <v>1</v>
      </c>
      <c r="G25" s="13" t="s">
        <v>139</v>
      </c>
    </row>
    <row r="26" spans="1:7" ht="14.4">
      <c r="A26">
        <f t="shared" si="0"/>
        <v>25</v>
      </c>
      <c r="B26" s="14">
        <v>33</v>
      </c>
      <c r="C26" s="13">
        <v>0</v>
      </c>
      <c r="D26" s="13">
        <v>0</v>
      </c>
      <c r="E26" s="13">
        <v>1</v>
      </c>
      <c r="F26" s="13">
        <v>1</v>
      </c>
      <c r="G26" s="13" t="s">
        <v>140</v>
      </c>
    </row>
    <row r="27" spans="1:7" ht="14.4">
      <c r="A27">
        <f t="shared" si="0"/>
        <v>26</v>
      </c>
      <c r="B27" s="14">
        <v>34</v>
      </c>
      <c r="C27" s="13">
        <v>0</v>
      </c>
      <c r="D27" s="13">
        <v>0</v>
      </c>
      <c r="E27" s="13">
        <v>1</v>
      </c>
      <c r="F27" s="13">
        <v>0</v>
      </c>
      <c r="G27" s="13" t="s">
        <v>141</v>
      </c>
    </row>
    <row r="28" spans="1:7" ht="14.4">
      <c r="A28">
        <f t="shared" si="0"/>
        <v>27</v>
      </c>
      <c r="B28" s="14">
        <v>35</v>
      </c>
      <c r="C28" s="13">
        <v>0</v>
      </c>
      <c r="D28" s="13">
        <v>0</v>
      </c>
      <c r="E28" s="13">
        <v>0</v>
      </c>
      <c r="F28" s="13">
        <v>1</v>
      </c>
      <c r="G28" s="13" t="s">
        <v>142</v>
      </c>
    </row>
    <row r="29" spans="1:7" ht="14.4">
      <c r="A29">
        <f t="shared" si="0"/>
        <v>28</v>
      </c>
      <c r="B29" s="14">
        <v>37</v>
      </c>
      <c r="C29" s="13">
        <v>0</v>
      </c>
      <c r="D29" s="13">
        <v>0</v>
      </c>
      <c r="E29" s="13">
        <v>1</v>
      </c>
      <c r="F29" s="13">
        <v>1</v>
      </c>
      <c r="G29" s="13" t="s">
        <v>143</v>
      </c>
    </row>
    <row r="30" spans="1:7" ht="14.4">
      <c r="A30">
        <f t="shared" si="0"/>
        <v>29</v>
      </c>
      <c r="B30" s="14">
        <v>39</v>
      </c>
      <c r="C30" s="13">
        <v>0</v>
      </c>
      <c r="D30" s="13">
        <v>0</v>
      </c>
      <c r="E30" s="13">
        <v>1</v>
      </c>
      <c r="F30" s="13">
        <v>1</v>
      </c>
      <c r="G30" s="13" t="s">
        <v>144</v>
      </c>
    </row>
    <row r="31" spans="1:7" ht="14.4">
      <c r="A31">
        <f t="shared" si="0"/>
        <v>30</v>
      </c>
      <c r="B31" s="14">
        <v>40</v>
      </c>
      <c r="C31" s="13">
        <v>1</v>
      </c>
      <c r="D31" s="13">
        <v>0</v>
      </c>
      <c r="E31" s="13">
        <v>1</v>
      </c>
      <c r="F31" s="13">
        <v>1</v>
      </c>
      <c r="G31" s="13" t="s">
        <v>145</v>
      </c>
    </row>
    <row r="32" spans="1:7" ht="14.4">
      <c r="A32">
        <f t="shared" si="0"/>
        <v>31</v>
      </c>
      <c r="B32" s="14">
        <v>41</v>
      </c>
      <c r="C32" s="13">
        <v>1</v>
      </c>
      <c r="D32" s="13">
        <v>0</v>
      </c>
      <c r="E32" s="13">
        <v>1</v>
      </c>
      <c r="F32" s="13">
        <v>1</v>
      </c>
      <c r="G32" s="13" t="s">
        <v>146</v>
      </c>
    </row>
    <row r="33" spans="1:7" ht="14.4">
      <c r="A33">
        <f t="shared" si="0"/>
        <v>32</v>
      </c>
      <c r="B33" s="14">
        <v>42</v>
      </c>
      <c r="C33" s="13">
        <v>0</v>
      </c>
      <c r="D33" s="13">
        <v>0</v>
      </c>
      <c r="E33" s="13">
        <v>0</v>
      </c>
      <c r="F33" s="13">
        <v>0</v>
      </c>
      <c r="G33" s="13" t="s">
        <v>147</v>
      </c>
    </row>
    <row r="34" spans="1:7" ht="14.4">
      <c r="A34">
        <f t="shared" si="0"/>
        <v>33</v>
      </c>
      <c r="B34" s="14">
        <v>44</v>
      </c>
      <c r="C34" s="13">
        <v>0</v>
      </c>
      <c r="D34" s="13">
        <v>0</v>
      </c>
      <c r="E34" s="13">
        <v>1</v>
      </c>
      <c r="F34" s="13">
        <v>1</v>
      </c>
      <c r="G34" s="13" t="s">
        <v>148</v>
      </c>
    </row>
    <row r="35" spans="1:7" ht="14.4">
      <c r="A35">
        <f t="shared" si="0"/>
        <v>34</v>
      </c>
      <c r="B35" s="14">
        <v>45</v>
      </c>
      <c r="C35" s="13">
        <v>0</v>
      </c>
      <c r="D35" s="13">
        <v>0</v>
      </c>
      <c r="E35" s="13">
        <v>1</v>
      </c>
      <c r="F35" s="13">
        <v>1</v>
      </c>
      <c r="G35" s="13" t="s">
        <v>149</v>
      </c>
    </row>
    <row r="36" spans="1:7" ht="14.4">
      <c r="A36">
        <f t="shared" si="0"/>
        <v>35</v>
      </c>
      <c r="B36" s="14">
        <v>46</v>
      </c>
      <c r="C36" s="13">
        <v>0</v>
      </c>
      <c r="D36" s="13">
        <v>0</v>
      </c>
      <c r="E36" s="13">
        <v>1</v>
      </c>
      <c r="F36" s="13">
        <v>1</v>
      </c>
      <c r="G36" s="13" t="s">
        <v>150</v>
      </c>
    </row>
    <row r="37" spans="1:7" ht="14.4">
      <c r="A37">
        <f t="shared" si="0"/>
        <v>36</v>
      </c>
      <c r="B37" s="14">
        <v>48</v>
      </c>
      <c r="C37" s="13">
        <v>1</v>
      </c>
      <c r="D37" s="13">
        <v>1</v>
      </c>
      <c r="E37" s="13">
        <v>1</v>
      </c>
      <c r="F37" s="13">
        <v>1</v>
      </c>
      <c r="G37" s="13" t="s">
        <v>151</v>
      </c>
    </row>
    <row r="38" spans="1:7" ht="14.4">
      <c r="A38">
        <f t="shared" si="0"/>
        <v>37</v>
      </c>
      <c r="B38" s="14">
        <v>49</v>
      </c>
      <c r="C38" s="13">
        <v>0</v>
      </c>
      <c r="D38" s="13">
        <v>1</v>
      </c>
      <c r="E38" s="13">
        <v>1</v>
      </c>
      <c r="F38" s="13">
        <v>1</v>
      </c>
      <c r="G38" s="13" t="s">
        <v>152</v>
      </c>
    </row>
    <row r="39" spans="1:7" ht="14.4">
      <c r="A39">
        <f t="shared" si="0"/>
        <v>38</v>
      </c>
      <c r="B39" s="14">
        <v>50</v>
      </c>
      <c r="C39" s="13">
        <v>0</v>
      </c>
      <c r="D39" s="13">
        <v>0</v>
      </c>
      <c r="E39" s="13">
        <v>0</v>
      </c>
      <c r="F39" s="13">
        <v>1</v>
      </c>
      <c r="G39" s="13" t="s">
        <v>153</v>
      </c>
    </row>
    <row r="40" spans="1:7" ht="14.4">
      <c r="A40">
        <f t="shared" si="0"/>
        <v>39</v>
      </c>
      <c r="B40" s="14">
        <v>51</v>
      </c>
      <c r="C40" s="13">
        <v>0</v>
      </c>
      <c r="D40" s="13">
        <v>0</v>
      </c>
      <c r="E40" s="13">
        <v>1</v>
      </c>
      <c r="F40" s="21">
        <v>1</v>
      </c>
      <c r="G40" s="13" t="s">
        <v>154</v>
      </c>
    </row>
    <row r="41" spans="1:7" ht="14.4">
      <c r="A41">
        <f t="shared" si="0"/>
        <v>40</v>
      </c>
      <c r="B41" s="14">
        <v>53</v>
      </c>
      <c r="C41" s="13">
        <v>0</v>
      </c>
      <c r="D41" s="13">
        <v>0</v>
      </c>
      <c r="E41" s="13">
        <v>1</v>
      </c>
      <c r="F41" s="21">
        <v>0</v>
      </c>
      <c r="G41" s="13" t="s">
        <v>155</v>
      </c>
    </row>
    <row r="42" spans="1:7" ht="14.4">
      <c r="A42">
        <f t="shared" si="0"/>
        <v>41</v>
      </c>
      <c r="B42" s="14">
        <v>55</v>
      </c>
      <c r="C42" s="13">
        <v>1</v>
      </c>
      <c r="D42" s="13">
        <v>0</v>
      </c>
      <c r="E42" s="13">
        <v>1</v>
      </c>
      <c r="F42" s="21">
        <v>0</v>
      </c>
      <c r="G42" s="13" t="s">
        <v>156</v>
      </c>
    </row>
    <row r="43" spans="1:7" ht="14.4">
      <c r="A43">
        <f t="shared" si="0"/>
        <v>42</v>
      </c>
      <c r="B43" s="14">
        <v>56</v>
      </c>
      <c r="C43" s="13">
        <v>0</v>
      </c>
      <c r="D43" s="13">
        <v>0</v>
      </c>
      <c r="E43" s="13">
        <v>0</v>
      </c>
      <c r="F43" s="21">
        <v>0</v>
      </c>
      <c r="G43" s="13" t="s">
        <v>157</v>
      </c>
    </row>
    <row r="44" spans="1:7" ht="14.4">
      <c r="A44">
        <f t="shared" si="0"/>
        <v>43</v>
      </c>
      <c r="B44" s="14">
        <v>57</v>
      </c>
      <c r="C44" s="13">
        <v>0</v>
      </c>
      <c r="D44" s="13">
        <v>0</v>
      </c>
      <c r="E44" s="13">
        <v>1</v>
      </c>
      <c r="F44" s="21">
        <v>0</v>
      </c>
      <c r="G44" s="13" t="s">
        <v>158</v>
      </c>
    </row>
    <row r="45" spans="1:7" ht="14.4">
      <c r="A45">
        <f t="shared" si="0"/>
        <v>44</v>
      </c>
      <c r="B45" s="14">
        <v>58</v>
      </c>
      <c r="C45" s="13">
        <v>1</v>
      </c>
      <c r="D45" s="13">
        <v>0</v>
      </c>
      <c r="E45" s="13">
        <v>1</v>
      </c>
      <c r="F45" s="21">
        <v>1</v>
      </c>
      <c r="G45" s="13" t="s">
        <v>159</v>
      </c>
    </row>
    <row r="46" spans="1:7" ht="14.4">
      <c r="A46">
        <f t="shared" si="0"/>
        <v>45</v>
      </c>
      <c r="B46" s="14">
        <v>59</v>
      </c>
      <c r="C46" s="13">
        <v>0</v>
      </c>
      <c r="D46" s="13">
        <v>0</v>
      </c>
      <c r="E46" s="13">
        <v>1</v>
      </c>
      <c r="F46" s="21">
        <v>1</v>
      </c>
      <c r="G46" s="13" t="s">
        <v>160</v>
      </c>
    </row>
    <row r="47" spans="1:7" ht="14.4">
      <c r="A47">
        <f t="shared" si="0"/>
        <v>46</v>
      </c>
      <c r="B47" s="14">
        <v>60</v>
      </c>
      <c r="C47" s="13">
        <v>0</v>
      </c>
      <c r="D47" s="13">
        <v>0</v>
      </c>
      <c r="E47" s="13">
        <v>1</v>
      </c>
      <c r="F47" s="21">
        <v>1</v>
      </c>
      <c r="G47" s="13" t="s">
        <v>161</v>
      </c>
    </row>
    <row r="48" spans="1:7" ht="14.4">
      <c r="A48">
        <f t="shared" si="0"/>
        <v>47</v>
      </c>
      <c r="B48" s="14">
        <v>64</v>
      </c>
      <c r="C48" s="13">
        <v>0</v>
      </c>
      <c r="D48" s="13">
        <v>0</v>
      </c>
      <c r="E48" s="13">
        <v>1</v>
      </c>
      <c r="F48" s="21">
        <v>0</v>
      </c>
      <c r="G48" s="13" t="s">
        <v>162</v>
      </c>
    </row>
    <row r="49" spans="1:7" ht="14.4">
      <c r="A49">
        <f t="shared" si="0"/>
        <v>48</v>
      </c>
      <c r="B49" s="14">
        <v>65</v>
      </c>
      <c r="C49" s="13">
        <v>0</v>
      </c>
      <c r="D49" s="13">
        <v>0</v>
      </c>
      <c r="E49" s="13">
        <v>1</v>
      </c>
      <c r="F49" s="21">
        <v>1</v>
      </c>
      <c r="G49" s="13" t="s">
        <v>163</v>
      </c>
    </row>
    <row r="50" spans="1:7" ht="14.4">
      <c r="A50">
        <f t="shared" si="0"/>
        <v>49</v>
      </c>
      <c r="B50" s="14">
        <v>66</v>
      </c>
      <c r="C50" s="13">
        <v>0</v>
      </c>
      <c r="D50" s="13">
        <v>0</v>
      </c>
      <c r="E50" s="13">
        <v>1</v>
      </c>
      <c r="F50" s="21">
        <v>1</v>
      </c>
      <c r="G50" s="13" t="s">
        <v>164</v>
      </c>
    </row>
    <row r="51" spans="1:7" ht="14.4">
      <c r="A51">
        <f t="shared" si="0"/>
        <v>50</v>
      </c>
      <c r="B51" s="14">
        <v>67</v>
      </c>
      <c r="C51" s="13">
        <v>0</v>
      </c>
      <c r="D51" s="13">
        <v>1</v>
      </c>
      <c r="E51" s="13">
        <v>1</v>
      </c>
      <c r="F51" s="21">
        <v>1</v>
      </c>
      <c r="G51" s="13" t="s">
        <v>165</v>
      </c>
    </row>
    <row r="52" spans="1:7" ht="14.4">
      <c r="A52">
        <f t="shared" si="0"/>
        <v>51</v>
      </c>
      <c r="B52" s="14">
        <v>69</v>
      </c>
      <c r="C52" s="13">
        <v>0</v>
      </c>
      <c r="D52" s="13">
        <v>0</v>
      </c>
      <c r="E52" s="13">
        <v>0</v>
      </c>
      <c r="F52" s="21">
        <v>0</v>
      </c>
      <c r="G52" s="13" t="s">
        <v>166</v>
      </c>
    </row>
    <row r="53" spans="1:7" ht="14.4">
      <c r="A53">
        <f t="shared" si="0"/>
        <v>52</v>
      </c>
      <c r="B53" s="14">
        <v>70</v>
      </c>
      <c r="C53" s="13">
        <v>0</v>
      </c>
      <c r="D53" s="13">
        <v>1</v>
      </c>
      <c r="E53" s="13">
        <v>1</v>
      </c>
      <c r="F53" s="21">
        <v>1</v>
      </c>
      <c r="G53" s="13" t="s">
        <v>167</v>
      </c>
    </row>
    <row r="54" spans="1:7" ht="14.4">
      <c r="A54">
        <f t="shared" si="0"/>
        <v>53</v>
      </c>
      <c r="B54" s="14">
        <v>71</v>
      </c>
      <c r="C54" s="13">
        <v>0</v>
      </c>
      <c r="D54" s="13">
        <v>1</v>
      </c>
      <c r="E54" s="13">
        <v>1</v>
      </c>
      <c r="F54" s="21">
        <v>1</v>
      </c>
      <c r="G54" s="13" t="s">
        <v>168</v>
      </c>
    </row>
    <row r="55" spans="1:7" ht="14.4">
      <c r="A55">
        <f t="shared" si="0"/>
        <v>54</v>
      </c>
      <c r="B55" s="14">
        <v>72</v>
      </c>
      <c r="C55" s="13">
        <v>0</v>
      </c>
      <c r="D55" s="13">
        <v>1</v>
      </c>
      <c r="E55" s="13">
        <v>1</v>
      </c>
      <c r="F55" s="21">
        <v>1</v>
      </c>
      <c r="G55" s="13" t="s">
        <v>169</v>
      </c>
    </row>
    <row r="56" spans="1:7" ht="14.4">
      <c r="A56">
        <f t="shared" si="0"/>
        <v>55</v>
      </c>
      <c r="B56" s="14">
        <v>73</v>
      </c>
      <c r="C56" s="13">
        <v>0</v>
      </c>
      <c r="D56" s="13">
        <v>1</v>
      </c>
      <c r="E56" s="13">
        <v>1</v>
      </c>
      <c r="F56" s="21">
        <v>1</v>
      </c>
      <c r="G56" s="13" t="s">
        <v>170</v>
      </c>
    </row>
    <row r="57" spans="1:7" ht="14.4">
      <c r="A57">
        <f t="shared" si="0"/>
        <v>56</v>
      </c>
      <c r="B57" s="14">
        <v>76</v>
      </c>
      <c r="C57" s="13">
        <v>0</v>
      </c>
      <c r="D57" s="13">
        <v>1</v>
      </c>
      <c r="E57" s="13">
        <v>1</v>
      </c>
      <c r="F57" s="21">
        <v>1</v>
      </c>
      <c r="G57" s="13" t="s">
        <v>171</v>
      </c>
    </row>
    <row r="58" spans="1:7" ht="14.4">
      <c r="A58">
        <f t="shared" si="0"/>
        <v>57</v>
      </c>
      <c r="B58" s="14">
        <v>77</v>
      </c>
      <c r="C58" s="13">
        <v>0</v>
      </c>
      <c r="D58" s="13">
        <v>0</v>
      </c>
      <c r="E58" s="13">
        <v>1</v>
      </c>
      <c r="F58" s="21">
        <v>0</v>
      </c>
      <c r="G58" s="13" t="s">
        <v>172</v>
      </c>
    </row>
    <row r="59" spans="1:7" ht="14.4">
      <c r="A59">
        <f t="shared" si="0"/>
        <v>58</v>
      </c>
      <c r="B59" s="14">
        <v>80</v>
      </c>
      <c r="C59" s="13">
        <v>0</v>
      </c>
      <c r="D59" s="13">
        <v>0</v>
      </c>
      <c r="E59" s="13">
        <v>1</v>
      </c>
      <c r="F59" s="21">
        <v>0</v>
      </c>
      <c r="G59" s="13" t="s">
        <v>173</v>
      </c>
    </row>
    <row r="60" spans="1:7" ht="14.4">
      <c r="A60">
        <f t="shared" si="0"/>
        <v>59</v>
      </c>
      <c r="B60" s="14">
        <v>84</v>
      </c>
      <c r="C60" s="13">
        <v>0</v>
      </c>
      <c r="D60" s="13">
        <v>0</v>
      </c>
      <c r="E60" s="13">
        <v>1</v>
      </c>
      <c r="F60" s="21">
        <v>0</v>
      </c>
      <c r="G60" s="13" t="s">
        <v>174</v>
      </c>
    </row>
    <row r="61" spans="1:7" ht="14.4">
      <c r="A61">
        <f t="shared" si="0"/>
        <v>60</v>
      </c>
      <c r="B61" s="14">
        <v>87</v>
      </c>
      <c r="C61" s="13">
        <v>0</v>
      </c>
      <c r="D61" s="13">
        <v>0</v>
      </c>
      <c r="E61" s="13">
        <v>0</v>
      </c>
      <c r="F61" s="21">
        <v>0</v>
      </c>
      <c r="G61" s="13" t="s">
        <v>175</v>
      </c>
    </row>
    <row r="62" spans="1:7" ht="14.4">
      <c r="A62">
        <f t="shared" si="0"/>
        <v>61</v>
      </c>
      <c r="B62" s="14">
        <v>93</v>
      </c>
      <c r="C62" s="13">
        <v>1</v>
      </c>
      <c r="D62" s="13">
        <v>0</v>
      </c>
      <c r="E62" s="13">
        <v>1</v>
      </c>
      <c r="F62" s="21">
        <v>0</v>
      </c>
      <c r="G62" s="13" t="s">
        <v>176</v>
      </c>
    </row>
    <row r="63" spans="1:7" ht="14.4">
      <c r="A63">
        <f t="shared" si="0"/>
        <v>62</v>
      </c>
      <c r="B63" s="14">
        <v>94</v>
      </c>
      <c r="C63" s="13">
        <v>0</v>
      </c>
      <c r="D63" s="13">
        <v>0</v>
      </c>
      <c r="E63" s="13">
        <v>1</v>
      </c>
      <c r="F63" s="21">
        <v>0</v>
      </c>
      <c r="G63" s="13" t="s">
        <v>177</v>
      </c>
    </row>
    <row r="64" spans="1:7" ht="14.4">
      <c r="A64">
        <f t="shared" si="0"/>
        <v>63</v>
      </c>
      <c r="B64" s="14">
        <v>95</v>
      </c>
      <c r="C64" s="13">
        <v>0</v>
      </c>
      <c r="D64" s="13">
        <v>0</v>
      </c>
      <c r="E64" s="13">
        <v>1</v>
      </c>
      <c r="F64" s="21">
        <v>0</v>
      </c>
      <c r="G64" s="13" t="s">
        <v>178</v>
      </c>
    </row>
    <row r="65" spans="1:7" ht="14.4">
      <c r="A65">
        <f t="shared" si="0"/>
        <v>64</v>
      </c>
      <c r="B65" s="14">
        <v>98</v>
      </c>
      <c r="C65" s="13">
        <v>0</v>
      </c>
      <c r="D65" s="13">
        <v>0</v>
      </c>
      <c r="E65" s="13">
        <v>0</v>
      </c>
      <c r="F65" s="21">
        <v>0</v>
      </c>
      <c r="G65" s="13" t="s">
        <v>179</v>
      </c>
    </row>
    <row r="66" spans="1:7" ht="14.4">
      <c r="A66">
        <f t="shared" si="0"/>
        <v>65</v>
      </c>
      <c r="B66" s="14">
        <v>99</v>
      </c>
      <c r="C66" s="13">
        <v>0</v>
      </c>
      <c r="D66" s="13">
        <v>0</v>
      </c>
      <c r="E66" s="13">
        <v>0</v>
      </c>
      <c r="F66" s="21">
        <v>0</v>
      </c>
      <c r="G66" s="13" t="s">
        <v>180</v>
      </c>
    </row>
    <row r="67" spans="1:7" ht="14.4">
      <c r="A67">
        <f t="shared" si="0"/>
        <v>66</v>
      </c>
      <c r="B67" s="14">
        <v>100</v>
      </c>
      <c r="C67" s="13">
        <v>0</v>
      </c>
      <c r="D67" s="13">
        <v>0</v>
      </c>
      <c r="E67" s="13">
        <v>1</v>
      </c>
      <c r="F67" s="21">
        <v>0</v>
      </c>
      <c r="G67" s="13" t="s">
        <v>181</v>
      </c>
    </row>
    <row r="68" spans="1:7" ht="14.4">
      <c r="A68">
        <f t="shared" ref="A68:A131" si="1">A67+1</f>
        <v>67</v>
      </c>
      <c r="B68" s="14">
        <v>101</v>
      </c>
      <c r="C68" s="13"/>
      <c r="D68" s="13"/>
      <c r="E68" s="13"/>
      <c r="F68" s="13"/>
      <c r="G68" s="13"/>
    </row>
    <row r="69" spans="1:7" ht="14.4">
      <c r="A69">
        <f t="shared" si="1"/>
        <v>68</v>
      </c>
      <c r="B69" s="14">
        <v>102</v>
      </c>
      <c r="C69" s="13">
        <v>0</v>
      </c>
      <c r="D69" s="13">
        <v>1</v>
      </c>
      <c r="E69" s="13">
        <v>1</v>
      </c>
      <c r="F69" s="13">
        <v>1</v>
      </c>
      <c r="G69" s="13" t="s">
        <v>184</v>
      </c>
    </row>
    <row r="70" spans="1:7" ht="14.4">
      <c r="A70">
        <f t="shared" si="1"/>
        <v>69</v>
      </c>
      <c r="B70" s="14">
        <v>103</v>
      </c>
      <c r="C70" s="13">
        <v>0</v>
      </c>
      <c r="D70" s="13">
        <v>0</v>
      </c>
      <c r="E70" s="13">
        <v>0</v>
      </c>
      <c r="F70" s="13">
        <v>0</v>
      </c>
      <c r="G70" s="13" t="s">
        <v>187</v>
      </c>
    </row>
    <row r="71" spans="1:7" ht="14.4">
      <c r="A71">
        <f t="shared" si="1"/>
        <v>70</v>
      </c>
      <c r="B71" s="14">
        <v>104</v>
      </c>
      <c r="C71" s="13">
        <v>1</v>
      </c>
      <c r="D71" s="13">
        <v>0</v>
      </c>
      <c r="E71" s="13">
        <v>0</v>
      </c>
      <c r="F71" s="13">
        <v>0</v>
      </c>
      <c r="G71" s="13" t="s">
        <v>189</v>
      </c>
    </row>
    <row r="72" spans="1:7" ht="14.4">
      <c r="A72">
        <f t="shared" si="1"/>
        <v>71</v>
      </c>
      <c r="B72" s="14">
        <v>106</v>
      </c>
      <c r="C72" s="13">
        <v>1</v>
      </c>
      <c r="D72" s="13">
        <v>0</v>
      </c>
      <c r="E72" s="13">
        <v>0</v>
      </c>
      <c r="F72" s="13">
        <v>1</v>
      </c>
      <c r="G72" s="13" t="s">
        <v>192</v>
      </c>
    </row>
    <row r="73" spans="1:7" ht="14.4">
      <c r="A73">
        <f t="shared" si="1"/>
        <v>72</v>
      </c>
      <c r="B73" s="14">
        <v>107</v>
      </c>
      <c r="C73" s="13">
        <v>1</v>
      </c>
      <c r="D73" s="13">
        <v>0</v>
      </c>
      <c r="E73" s="13">
        <v>0</v>
      </c>
      <c r="F73" s="13">
        <v>0</v>
      </c>
      <c r="G73" s="13" t="s">
        <v>194</v>
      </c>
    </row>
    <row r="74" spans="1:7" ht="14.4">
      <c r="A74">
        <f t="shared" si="1"/>
        <v>73</v>
      </c>
      <c r="B74" s="14">
        <v>109</v>
      </c>
      <c r="C74" s="13">
        <v>0</v>
      </c>
      <c r="D74" s="13">
        <v>0</v>
      </c>
      <c r="E74" s="13">
        <v>0</v>
      </c>
      <c r="F74" s="13">
        <v>1</v>
      </c>
      <c r="G74" s="13" t="s">
        <v>189</v>
      </c>
    </row>
    <row r="75" spans="1:7" ht="14.4">
      <c r="A75">
        <f t="shared" si="1"/>
        <v>74</v>
      </c>
      <c r="B75" s="14">
        <v>110</v>
      </c>
      <c r="C75" s="13">
        <v>0</v>
      </c>
      <c r="D75" s="13">
        <v>1</v>
      </c>
      <c r="E75" s="13">
        <v>0</v>
      </c>
      <c r="F75" s="13">
        <v>1</v>
      </c>
      <c r="G75" s="13" t="s">
        <v>198</v>
      </c>
    </row>
    <row r="76" spans="1:7" ht="14.4">
      <c r="A76">
        <f t="shared" si="1"/>
        <v>75</v>
      </c>
      <c r="B76" s="14">
        <v>113</v>
      </c>
      <c r="C76" s="13">
        <v>0</v>
      </c>
      <c r="D76" s="13">
        <v>0</v>
      </c>
      <c r="E76" s="13">
        <v>0</v>
      </c>
      <c r="F76" s="13">
        <v>1</v>
      </c>
      <c r="G76" s="13" t="s">
        <v>202</v>
      </c>
    </row>
    <row r="77" spans="1:7" ht="14.4">
      <c r="A77">
        <f t="shared" si="1"/>
        <v>76</v>
      </c>
      <c r="B77" s="14">
        <v>116</v>
      </c>
      <c r="C77" s="13">
        <v>1</v>
      </c>
      <c r="D77" s="13">
        <v>0</v>
      </c>
      <c r="E77" s="13">
        <v>0</v>
      </c>
      <c r="F77" s="13">
        <v>0</v>
      </c>
      <c r="G77" s="13" t="s">
        <v>189</v>
      </c>
    </row>
    <row r="78" spans="1:7" ht="14.4">
      <c r="A78">
        <f t="shared" si="1"/>
        <v>77</v>
      </c>
      <c r="B78" s="14">
        <v>117</v>
      </c>
      <c r="C78" s="13">
        <v>1</v>
      </c>
      <c r="D78" s="13">
        <v>0</v>
      </c>
      <c r="E78" s="13">
        <v>0</v>
      </c>
      <c r="F78" s="13">
        <v>1</v>
      </c>
      <c r="G78" s="13" t="s">
        <v>202</v>
      </c>
    </row>
    <row r="79" spans="1:7" ht="14.4">
      <c r="A79">
        <f t="shared" si="1"/>
        <v>78</v>
      </c>
      <c r="B79" s="14">
        <v>119</v>
      </c>
      <c r="C79" s="13">
        <v>0</v>
      </c>
      <c r="D79" s="13">
        <v>1</v>
      </c>
      <c r="E79" s="13">
        <v>0</v>
      </c>
      <c r="F79" s="13">
        <v>1</v>
      </c>
      <c r="G79" s="13" t="s">
        <v>199</v>
      </c>
    </row>
    <row r="80" spans="1:7" ht="14.4">
      <c r="A80">
        <f t="shared" si="1"/>
        <v>79</v>
      </c>
      <c r="B80" s="14">
        <v>120</v>
      </c>
      <c r="C80" s="13">
        <v>1</v>
      </c>
      <c r="D80" s="13">
        <v>0</v>
      </c>
      <c r="E80" s="13">
        <v>0</v>
      </c>
      <c r="F80" s="13">
        <v>0</v>
      </c>
      <c r="G80" s="13" t="s">
        <v>192</v>
      </c>
    </row>
    <row r="81" spans="1:7" ht="14.4">
      <c r="A81">
        <f t="shared" si="1"/>
        <v>80</v>
      </c>
      <c r="B81" s="14">
        <v>122</v>
      </c>
      <c r="C81" s="13">
        <v>0</v>
      </c>
      <c r="D81" s="13">
        <v>1</v>
      </c>
      <c r="E81" s="13">
        <v>0</v>
      </c>
      <c r="F81" s="13">
        <v>1</v>
      </c>
      <c r="G81" s="13" t="s">
        <v>202</v>
      </c>
    </row>
    <row r="82" spans="1:7" ht="14.4">
      <c r="A82">
        <f t="shared" si="1"/>
        <v>81</v>
      </c>
      <c r="B82" s="14">
        <v>123</v>
      </c>
      <c r="C82" s="13">
        <v>0</v>
      </c>
      <c r="D82" s="13">
        <v>0</v>
      </c>
      <c r="E82" s="13">
        <v>0</v>
      </c>
      <c r="F82" s="13">
        <v>1</v>
      </c>
      <c r="G82" s="13" t="s">
        <v>194</v>
      </c>
    </row>
    <row r="83" spans="1:7" ht="14.4">
      <c r="A83">
        <f t="shared" si="1"/>
        <v>82</v>
      </c>
      <c r="B83" s="14">
        <v>125</v>
      </c>
      <c r="C83" s="13"/>
      <c r="D83" s="13"/>
      <c r="E83" s="13"/>
      <c r="F83" s="13">
        <v>0</v>
      </c>
      <c r="G83" s="13"/>
    </row>
    <row r="84" spans="1:7" ht="14.4">
      <c r="A84">
        <f t="shared" si="1"/>
        <v>83</v>
      </c>
      <c r="B84" s="14">
        <v>126</v>
      </c>
      <c r="C84" s="13">
        <v>1</v>
      </c>
      <c r="D84" s="13">
        <v>1</v>
      </c>
      <c r="E84" s="13">
        <v>0</v>
      </c>
      <c r="F84" s="13" t="s">
        <v>492</v>
      </c>
      <c r="G84" s="13" t="s">
        <v>199</v>
      </c>
    </row>
    <row r="85" spans="1:7" ht="14.4">
      <c r="A85">
        <f t="shared" si="1"/>
        <v>84</v>
      </c>
      <c r="B85" s="14">
        <v>128</v>
      </c>
      <c r="C85" s="13">
        <v>1</v>
      </c>
      <c r="D85" s="13">
        <v>0</v>
      </c>
      <c r="E85" s="13">
        <v>0</v>
      </c>
      <c r="F85" s="13">
        <v>0</v>
      </c>
      <c r="G85" s="13" t="s">
        <v>202</v>
      </c>
    </row>
    <row r="86" spans="1:7" ht="14.4">
      <c r="A86">
        <f t="shared" si="1"/>
        <v>85</v>
      </c>
      <c r="B86" s="14">
        <v>129</v>
      </c>
      <c r="C86" s="13">
        <v>0</v>
      </c>
      <c r="D86" s="13">
        <v>0</v>
      </c>
      <c r="E86" s="13">
        <v>0</v>
      </c>
      <c r="F86" s="13">
        <v>1</v>
      </c>
      <c r="G86" s="13" t="s">
        <v>189</v>
      </c>
    </row>
    <row r="87" spans="1:7" ht="14.4">
      <c r="A87">
        <f t="shared" si="1"/>
        <v>86</v>
      </c>
      <c r="B87" s="14">
        <v>130</v>
      </c>
      <c r="C87" s="13">
        <v>1</v>
      </c>
      <c r="D87" s="13">
        <v>1</v>
      </c>
      <c r="E87" s="13">
        <v>0</v>
      </c>
      <c r="F87" s="13">
        <v>1</v>
      </c>
      <c r="G87" s="13" t="s">
        <v>198</v>
      </c>
    </row>
    <row r="88" spans="1:7" ht="14.4">
      <c r="A88">
        <f t="shared" si="1"/>
        <v>87</v>
      </c>
      <c r="B88" s="14">
        <v>131</v>
      </c>
      <c r="C88" s="13">
        <v>1</v>
      </c>
      <c r="D88" s="13">
        <v>0</v>
      </c>
      <c r="E88" s="13">
        <v>0</v>
      </c>
      <c r="F88" s="13">
        <v>1</v>
      </c>
      <c r="G88" s="13"/>
    </row>
    <row r="89" spans="1:7" ht="14.4">
      <c r="A89">
        <f t="shared" si="1"/>
        <v>88</v>
      </c>
      <c r="B89" s="14">
        <v>132</v>
      </c>
      <c r="C89" s="13">
        <v>1</v>
      </c>
      <c r="D89" s="13">
        <v>1</v>
      </c>
      <c r="E89" s="13">
        <v>0</v>
      </c>
      <c r="F89" s="13">
        <v>1</v>
      </c>
      <c r="G89" s="13" t="s">
        <v>222</v>
      </c>
    </row>
    <row r="90" spans="1:7" ht="14.4">
      <c r="A90">
        <f t="shared" si="1"/>
        <v>89</v>
      </c>
      <c r="B90" s="14">
        <v>133</v>
      </c>
      <c r="C90" s="13">
        <v>0</v>
      </c>
      <c r="D90" s="13">
        <v>1</v>
      </c>
      <c r="E90" s="13">
        <v>0</v>
      </c>
      <c r="F90" s="13">
        <v>1</v>
      </c>
      <c r="G90" s="13" t="s">
        <v>202</v>
      </c>
    </row>
    <row r="91" spans="1:7" ht="14.4">
      <c r="A91">
        <f t="shared" si="1"/>
        <v>90</v>
      </c>
      <c r="B91" s="14">
        <v>135</v>
      </c>
      <c r="C91" s="13">
        <v>0</v>
      </c>
      <c r="D91" s="13">
        <v>0</v>
      </c>
      <c r="E91" s="13">
        <v>0</v>
      </c>
      <c r="F91" s="13">
        <v>0</v>
      </c>
      <c r="G91" s="13" t="s">
        <v>189</v>
      </c>
    </row>
    <row r="92" spans="1:7" ht="14.4">
      <c r="A92">
        <f t="shared" si="1"/>
        <v>91</v>
      </c>
      <c r="B92" s="14">
        <v>138</v>
      </c>
      <c r="C92" s="13">
        <v>1</v>
      </c>
      <c r="D92" s="13">
        <v>1</v>
      </c>
      <c r="E92" s="13">
        <v>0</v>
      </c>
      <c r="F92" s="13">
        <v>1</v>
      </c>
      <c r="G92" s="13" t="s">
        <v>202</v>
      </c>
    </row>
    <row r="93" spans="1:7" ht="14.4">
      <c r="A93">
        <f t="shared" si="1"/>
        <v>92</v>
      </c>
      <c r="B93" s="14">
        <v>139</v>
      </c>
      <c r="C93" s="13">
        <v>1</v>
      </c>
      <c r="D93" s="13">
        <v>0</v>
      </c>
      <c r="E93" s="13">
        <v>0</v>
      </c>
      <c r="F93" s="13">
        <v>0</v>
      </c>
      <c r="G93" s="13" t="s">
        <v>231</v>
      </c>
    </row>
    <row r="94" spans="1:7" ht="14.4">
      <c r="A94">
        <f t="shared" si="1"/>
        <v>93</v>
      </c>
      <c r="B94" s="14">
        <v>140</v>
      </c>
      <c r="C94" s="13">
        <v>1</v>
      </c>
      <c r="D94" s="13">
        <v>0</v>
      </c>
      <c r="E94" s="13">
        <v>0</v>
      </c>
      <c r="F94" s="13">
        <v>1</v>
      </c>
      <c r="G94" s="13" t="s">
        <v>233</v>
      </c>
    </row>
    <row r="95" spans="1:7" ht="14.4">
      <c r="A95">
        <f t="shared" si="1"/>
        <v>94</v>
      </c>
      <c r="B95" s="14">
        <v>145</v>
      </c>
      <c r="C95" s="13">
        <v>1</v>
      </c>
      <c r="D95" s="13">
        <v>0</v>
      </c>
      <c r="E95" s="13">
        <v>0</v>
      </c>
      <c r="F95" s="13">
        <v>0</v>
      </c>
      <c r="G95" s="13" t="s">
        <v>233</v>
      </c>
    </row>
    <row r="96" spans="1:7" ht="14.4">
      <c r="A96">
        <f t="shared" si="1"/>
        <v>95</v>
      </c>
      <c r="B96" s="14">
        <v>147</v>
      </c>
      <c r="C96" s="13">
        <v>1</v>
      </c>
      <c r="D96" s="13">
        <v>1</v>
      </c>
      <c r="E96" s="13">
        <v>0</v>
      </c>
      <c r="F96" s="13">
        <v>1</v>
      </c>
      <c r="G96" s="13" t="s">
        <v>198</v>
      </c>
    </row>
    <row r="97" spans="1:7" ht="14.4">
      <c r="A97">
        <f t="shared" si="1"/>
        <v>96</v>
      </c>
      <c r="B97" s="14">
        <v>150</v>
      </c>
      <c r="C97" s="13">
        <v>1</v>
      </c>
      <c r="D97" s="13">
        <v>1</v>
      </c>
      <c r="E97" s="13">
        <v>0</v>
      </c>
      <c r="F97" s="13">
        <v>1</v>
      </c>
      <c r="G97" s="13" t="s">
        <v>244</v>
      </c>
    </row>
    <row r="98" spans="1:7" ht="14.4">
      <c r="A98">
        <f t="shared" si="1"/>
        <v>97</v>
      </c>
      <c r="B98" s="14">
        <v>151</v>
      </c>
      <c r="C98" s="13">
        <v>0</v>
      </c>
      <c r="D98" s="13">
        <v>1</v>
      </c>
      <c r="E98" s="13">
        <v>0</v>
      </c>
      <c r="F98" s="13">
        <v>1</v>
      </c>
      <c r="G98" s="13" t="s">
        <v>231</v>
      </c>
    </row>
    <row r="99" spans="1:7" ht="14.4">
      <c r="A99">
        <f t="shared" si="1"/>
        <v>98</v>
      </c>
      <c r="B99" s="14">
        <v>152</v>
      </c>
      <c r="C99" s="13">
        <v>1</v>
      </c>
      <c r="D99" s="13">
        <v>0</v>
      </c>
      <c r="E99" s="13">
        <v>0</v>
      </c>
      <c r="F99" s="13">
        <v>1</v>
      </c>
      <c r="G99" s="13" t="s">
        <v>247</v>
      </c>
    </row>
    <row r="100" spans="1:7" ht="14.4">
      <c r="A100">
        <f t="shared" si="1"/>
        <v>99</v>
      </c>
      <c r="B100" s="14">
        <v>154</v>
      </c>
      <c r="C100" s="13">
        <v>1</v>
      </c>
      <c r="D100" s="13">
        <v>1</v>
      </c>
      <c r="E100" s="13">
        <v>1</v>
      </c>
      <c r="F100" s="13">
        <v>0</v>
      </c>
      <c r="G100" s="13" t="s">
        <v>184</v>
      </c>
    </row>
    <row r="101" spans="1:7" ht="14.4">
      <c r="A101">
        <f t="shared" si="1"/>
        <v>100</v>
      </c>
      <c r="B101" s="14">
        <v>155</v>
      </c>
      <c r="C101" s="13">
        <v>1</v>
      </c>
      <c r="D101" s="13">
        <v>1</v>
      </c>
      <c r="E101" s="13">
        <v>1</v>
      </c>
      <c r="F101" s="13">
        <v>0</v>
      </c>
      <c r="G101" s="13" t="s">
        <v>252</v>
      </c>
    </row>
    <row r="102" spans="1:7" ht="14.4">
      <c r="A102">
        <f t="shared" si="1"/>
        <v>101</v>
      </c>
      <c r="B102" s="14">
        <v>157</v>
      </c>
      <c r="C102" s="13">
        <v>1</v>
      </c>
      <c r="D102" s="13">
        <v>1</v>
      </c>
      <c r="E102" s="13">
        <v>1</v>
      </c>
      <c r="F102" s="13">
        <v>1</v>
      </c>
      <c r="G102" s="13" t="s">
        <v>184</v>
      </c>
    </row>
    <row r="103" spans="1:7" ht="14.4">
      <c r="A103">
        <f t="shared" si="1"/>
        <v>102</v>
      </c>
      <c r="B103" s="14">
        <v>158</v>
      </c>
      <c r="C103" s="13">
        <v>1</v>
      </c>
      <c r="D103" s="13">
        <v>0</v>
      </c>
      <c r="E103" s="13">
        <v>0</v>
      </c>
      <c r="F103" s="13">
        <v>0</v>
      </c>
      <c r="G103" s="13" t="s">
        <v>233</v>
      </c>
    </row>
    <row r="104" spans="1:7" ht="14.4">
      <c r="A104">
        <f t="shared" si="1"/>
        <v>103</v>
      </c>
      <c r="B104" s="14">
        <v>159</v>
      </c>
      <c r="C104" s="13"/>
      <c r="D104" s="13"/>
      <c r="E104" s="13"/>
      <c r="F104" s="13">
        <v>0</v>
      </c>
      <c r="G104" s="13" t="s">
        <v>257</v>
      </c>
    </row>
    <row r="105" spans="1:7" ht="14.4">
      <c r="A105">
        <f t="shared" si="1"/>
        <v>104</v>
      </c>
      <c r="B105" s="14">
        <v>168</v>
      </c>
      <c r="C105" s="13">
        <v>1</v>
      </c>
      <c r="D105" s="13">
        <v>1</v>
      </c>
      <c r="E105" s="13">
        <v>0</v>
      </c>
      <c r="F105" s="13">
        <v>0</v>
      </c>
      <c r="G105" s="13" t="s">
        <v>267</v>
      </c>
    </row>
    <row r="106" spans="1:7" ht="14.4">
      <c r="A106">
        <f t="shared" si="1"/>
        <v>105</v>
      </c>
      <c r="B106" s="14">
        <v>169</v>
      </c>
      <c r="C106" s="13">
        <v>1</v>
      </c>
      <c r="D106" s="13">
        <v>1</v>
      </c>
      <c r="E106" s="13">
        <v>0</v>
      </c>
      <c r="F106" s="13">
        <v>0</v>
      </c>
      <c r="G106" s="13" t="s">
        <v>184</v>
      </c>
    </row>
    <row r="107" spans="1:7" ht="14.4">
      <c r="A107">
        <f t="shared" si="1"/>
        <v>106</v>
      </c>
      <c r="B107" s="14">
        <v>171</v>
      </c>
      <c r="C107" s="13">
        <v>1</v>
      </c>
      <c r="D107" s="13">
        <v>1</v>
      </c>
      <c r="E107" s="13">
        <v>1</v>
      </c>
      <c r="F107" s="13">
        <v>1</v>
      </c>
      <c r="G107" s="13" t="s">
        <v>267</v>
      </c>
    </row>
    <row r="108" spans="1:7" ht="14.4">
      <c r="A108">
        <f t="shared" si="1"/>
        <v>107</v>
      </c>
      <c r="B108" s="14">
        <v>172</v>
      </c>
      <c r="C108" s="13">
        <v>0</v>
      </c>
      <c r="D108" s="13">
        <v>1</v>
      </c>
      <c r="E108" s="13">
        <v>0</v>
      </c>
      <c r="F108" s="13">
        <v>1</v>
      </c>
      <c r="G108" s="13" t="s">
        <v>244</v>
      </c>
    </row>
    <row r="109" spans="1:7" ht="14.4">
      <c r="A109">
        <f t="shared" si="1"/>
        <v>108</v>
      </c>
      <c r="B109" s="14">
        <v>173</v>
      </c>
      <c r="C109" s="13">
        <v>1</v>
      </c>
      <c r="D109" s="13">
        <v>1</v>
      </c>
      <c r="E109" s="13">
        <v>0</v>
      </c>
      <c r="F109" s="13">
        <v>0</v>
      </c>
      <c r="G109" s="13" t="s">
        <v>273</v>
      </c>
    </row>
    <row r="110" spans="1:7" ht="14.4">
      <c r="A110">
        <f t="shared" si="1"/>
        <v>109</v>
      </c>
      <c r="B110" s="14">
        <v>175</v>
      </c>
      <c r="C110" s="13">
        <v>0</v>
      </c>
      <c r="D110" s="13">
        <v>0</v>
      </c>
      <c r="E110" s="13">
        <v>0</v>
      </c>
      <c r="F110" s="13">
        <v>1</v>
      </c>
      <c r="G110" s="13" t="s">
        <v>187</v>
      </c>
    </row>
    <row r="111" spans="1:7" ht="14.4">
      <c r="A111">
        <f t="shared" si="1"/>
        <v>110</v>
      </c>
      <c r="B111" s="14">
        <v>176</v>
      </c>
      <c r="C111" s="13">
        <v>1</v>
      </c>
      <c r="D111" s="13">
        <v>1</v>
      </c>
      <c r="E111" s="13">
        <v>0</v>
      </c>
      <c r="F111" s="13">
        <v>1</v>
      </c>
      <c r="G111" s="13" t="s">
        <v>277</v>
      </c>
    </row>
    <row r="112" spans="1:7" ht="14.4">
      <c r="A112">
        <f t="shared" si="1"/>
        <v>111</v>
      </c>
      <c r="B112" s="14">
        <v>177</v>
      </c>
      <c r="C112" s="13">
        <v>1</v>
      </c>
      <c r="D112" s="13">
        <v>1</v>
      </c>
      <c r="E112" s="13">
        <v>1</v>
      </c>
      <c r="F112" s="13">
        <v>1</v>
      </c>
      <c r="G112" s="13" t="s">
        <v>279</v>
      </c>
    </row>
    <row r="113" spans="1:7" ht="14.4">
      <c r="A113">
        <f t="shared" si="1"/>
        <v>112</v>
      </c>
      <c r="B113" s="14">
        <v>178</v>
      </c>
      <c r="C113" s="13">
        <v>1</v>
      </c>
      <c r="D113" s="13">
        <v>0</v>
      </c>
      <c r="E113" s="13">
        <v>0</v>
      </c>
      <c r="F113" s="13">
        <v>1</v>
      </c>
      <c r="G113" s="13" t="s">
        <v>281</v>
      </c>
    </row>
    <row r="114" spans="1:7" ht="14.4">
      <c r="A114">
        <f t="shared" si="1"/>
        <v>113</v>
      </c>
      <c r="B114" s="14">
        <v>180</v>
      </c>
      <c r="C114" s="13">
        <v>1</v>
      </c>
      <c r="D114" s="13">
        <v>1</v>
      </c>
      <c r="E114" s="13">
        <v>0</v>
      </c>
      <c r="F114" s="13">
        <v>0</v>
      </c>
      <c r="G114" s="13" t="s">
        <v>284</v>
      </c>
    </row>
    <row r="115" spans="1:7" ht="14.4">
      <c r="A115">
        <f t="shared" si="1"/>
        <v>114</v>
      </c>
      <c r="B115" s="14">
        <v>181</v>
      </c>
      <c r="C115" s="13"/>
      <c r="D115" s="13"/>
      <c r="E115" s="13"/>
      <c r="F115" s="13">
        <v>0</v>
      </c>
      <c r="G115" s="13"/>
    </row>
    <row r="116" spans="1:7" ht="14.4">
      <c r="A116">
        <f t="shared" si="1"/>
        <v>115</v>
      </c>
      <c r="B116" s="14">
        <v>183</v>
      </c>
      <c r="C116" s="13">
        <v>1</v>
      </c>
      <c r="D116" s="13">
        <v>1</v>
      </c>
      <c r="E116" s="13">
        <v>0</v>
      </c>
      <c r="F116" s="13">
        <v>0</v>
      </c>
      <c r="G116" s="13" t="s">
        <v>288</v>
      </c>
    </row>
    <row r="117" spans="1:7" ht="14.4">
      <c r="A117">
        <f t="shared" si="1"/>
        <v>116</v>
      </c>
      <c r="B117" s="14">
        <v>184</v>
      </c>
      <c r="C117" s="13">
        <v>1</v>
      </c>
      <c r="D117" s="13">
        <v>1</v>
      </c>
      <c r="E117" s="13">
        <v>0</v>
      </c>
      <c r="F117" s="13">
        <v>1</v>
      </c>
      <c r="G117" s="13" t="s">
        <v>290</v>
      </c>
    </row>
    <row r="118" spans="1:7" ht="14.4">
      <c r="A118">
        <f t="shared" si="1"/>
        <v>117</v>
      </c>
      <c r="B118" s="14">
        <v>186</v>
      </c>
      <c r="C118" s="13">
        <v>1</v>
      </c>
      <c r="D118" s="13">
        <v>0</v>
      </c>
      <c r="E118" s="13">
        <v>0</v>
      </c>
      <c r="F118" s="13">
        <v>0</v>
      </c>
      <c r="G118" s="13" t="s">
        <v>199</v>
      </c>
    </row>
    <row r="119" spans="1:7" ht="14.4">
      <c r="A119">
        <f t="shared" si="1"/>
        <v>118</v>
      </c>
      <c r="B119" s="14">
        <v>188</v>
      </c>
      <c r="C119" s="13">
        <v>0</v>
      </c>
      <c r="D119" s="13">
        <v>1</v>
      </c>
      <c r="E119" s="13">
        <v>0</v>
      </c>
      <c r="F119" s="13">
        <v>0</v>
      </c>
      <c r="G119" s="13" t="s">
        <v>194</v>
      </c>
    </row>
    <row r="120" spans="1:7" ht="14.4">
      <c r="A120">
        <f t="shared" si="1"/>
        <v>119</v>
      </c>
      <c r="B120" s="14">
        <v>190</v>
      </c>
      <c r="C120" s="13"/>
      <c r="D120" s="13"/>
      <c r="E120" s="13"/>
      <c r="F120" s="13">
        <v>0</v>
      </c>
      <c r="G120" s="13"/>
    </row>
    <row r="121" spans="1:7" ht="14.4">
      <c r="A121">
        <f t="shared" si="1"/>
        <v>120</v>
      </c>
      <c r="B121" s="14">
        <v>191</v>
      </c>
      <c r="C121" s="13">
        <v>1</v>
      </c>
      <c r="D121" s="13">
        <v>1</v>
      </c>
      <c r="E121" s="13">
        <v>1</v>
      </c>
      <c r="F121" s="13">
        <v>1</v>
      </c>
      <c r="G121" s="13" t="s">
        <v>198</v>
      </c>
    </row>
    <row r="122" spans="1:7" ht="14.4">
      <c r="A122">
        <f t="shared" si="1"/>
        <v>121</v>
      </c>
      <c r="B122" s="14">
        <v>192</v>
      </c>
      <c r="C122" s="13">
        <v>1</v>
      </c>
      <c r="D122" s="13">
        <v>1</v>
      </c>
      <c r="E122" s="13">
        <v>1</v>
      </c>
      <c r="F122" s="13">
        <v>1</v>
      </c>
      <c r="G122" s="13" t="s">
        <v>300</v>
      </c>
    </row>
    <row r="123" spans="1:7" ht="14.4">
      <c r="A123">
        <f t="shared" si="1"/>
        <v>122</v>
      </c>
      <c r="B123" s="14">
        <v>194</v>
      </c>
      <c r="C123" s="13">
        <v>0</v>
      </c>
      <c r="D123" s="13">
        <v>1</v>
      </c>
      <c r="E123" s="13">
        <v>0</v>
      </c>
      <c r="F123" s="13">
        <v>1</v>
      </c>
      <c r="G123" s="13" t="s">
        <v>194</v>
      </c>
    </row>
    <row r="124" spans="1:7" ht="14.4">
      <c r="A124">
        <f t="shared" si="1"/>
        <v>123</v>
      </c>
      <c r="B124" s="14">
        <v>199</v>
      </c>
      <c r="C124" s="13">
        <v>0</v>
      </c>
      <c r="D124" s="13">
        <v>0</v>
      </c>
      <c r="E124" s="13">
        <v>0</v>
      </c>
      <c r="F124" s="13">
        <v>0</v>
      </c>
      <c r="G124" s="13" t="s">
        <v>307</v>
      </c>
    </row>
    <row r="125" spans="1:7" ht="14.4">
      <c r="A125">
        <f t="shared" si="1"/>
        <v>124</v>
      </c>
      <c r="B125" s="14">
        <v>200</v>
      </c>
      <c r="C125" s="13">
        <v>0</v>
      </c>
      <c r="D125" s="13">
        <v>0</v>
      </c>
      <c r="E125" s="13">
        <v>0</v>
      </c>
      <c r="F125" s="13">
        <v>0</v>
      </c>
      <c r="G125" s="13" t="s">
        <v>189</v>
      </c>
    </row>
    <row r="126" spans="1:7" ht="14.4">
      <c r="A126">
        <f t="shared" si="1"/>
        <v>125</v>
      </c>
      <c r="B126" s="14">
        <v>201</v>
      </c>
      <c r="C126" s="13">
        <v>0</v>
      </c>
      <c r="D126" s="13">
        <v>1</v>
      </c>
      <c r="E126" s="13">
        <v>0</v>
      </c>
      <c r="F126" s="13">
        <v>1</v>
      </c>
      <c r="G126" s="13" t="s">
        <v>307</v>
      </c>
    </row>
    <row r="127" spans="1:7" ht="14.4">
      <c r="A127">
        <f t="shared" si="1"/>
        <v>126</v>
      </c>
      <c r="B127" s="14">
        <v>202</v>
      </c>
      <c r="C127" s="13">
        <v>0</v>
      </c>
      <c r="D127" s="13">
        <v>1</v>
      </c>
      <c r="E127" s="13">
        <v>1</v>
      </c>
      <c r="F127" s="21">
        <v>1</v>
      </c>
      <c r="G127" s="13" t="s">
        <v>311</v>
      </c>
    </row>
    <row r="128" spans="1:7" ht="14.4">
      <c r="A128">
        <f t="shared" si="1"/>
        <v>127</v>
      </c>
      <c r="B128" s="14">
        <v>203</v>
      </c>
      <c r="C128" s="13">
        <v>1</v>
      </c>
      <c r="D128" s="13">
        <v>0</v>
      </c>
      <c r="E128" s="13">
        <v>1</v>
      </c>
      <c r="F128" s="21">
        <v>0</v>
      </c>
      <c r="G128" s="13" t="s">
        <v>313</v>
      </c>
    </row>
    <row r="129" spans="1:7" ht="14.4">
      <c r="A129">
        <f t="shared" si="1"/>
        <v>128</v>
      </c>
      <c r="B129" s="14">
        <v>204</v>
      </c>
      <c r="C129" s="13">
        <v>1</v>
      </c>
      <c r="D129" s="13">
        <v>1</v>
      </c>
      <c r="E129" s="13">
        <v>1</v>
      </c>
      <c r="F129" s="21">
        <v>0</v>
      </c>
      <c r="G129" s="13" t="s">
        <v>315</v>
      </c>
    </row>
    <row r="130" spans="1:7" ht="14.4">
      <c r="A130">
        <f t="shared" si="1"/>
        <v>129</v>
      </c>
      <c r="B130" s="14">
        <v>205</v>
      </c>
      <c r="C130" s="13">
        <v>0</v>
      </c>
      <c r="D130" s="13">
        <v>0</v>
      </c>
      <c r="E130" s="13">
        <v>1</v>
      </c>
      <c r="F130" s="21">
        <v>1</v>
      </c>
      <c r="G130" s="13" t="s">
        <v>317</v>
      </c>
    </row>
    <row r="131" spans="1:7" ht="14.4">
      <c r="A131">
        <f t="shared" si="1"/>
        <v>130</v>
      </c>
      <c r="B131" s="14">
        <v>206</v>
      </c>
      <c r="C131" s="13">
        <v>1</v>
      </c>
      <c r="D131" s="13">
        <v>0</v>
      </c>
      <c r="E131" s="13">
        <v>1</v>
      </c>
      <c r="F131" s="21">
        <v>1</v>
      </c>
      <c r="G131" s="13" t="s">
        <v>319</v>
      </c>
    </row>
    <row r="132" spans="1:7" ht="14.4">
      <c r="A132">
        <f t="shared" ref="A132:A190" si="2">A131+1</f>
        <v>131</v>
      </c>
      <c r="B132" s="14">
        <v>207</v>
      </c>
      <c r="C132" s="13">
        <v>0</v>
      </c>
      <c r="D132" s="13">
        <v>0</v>
      </c>
      <c r="E132" s="13">
        <v>1</v>
      </c>
      <c r="F132" s="21">
        <v>1</v>
      </c>
      <c r="G132" s="13" t="s">
        <v>321</v>
      </c>
    </row>
    <row r="133" spans="1:7" ht="14.4">
      <c r="A133">
        <f t="shared" si="2"/>
        <v>132</v>
      </c>
      <c r="B133" s="14">
        <v>208</v>
      </c>
      <c r="C133" s="13">
        <v>0</v>
      </c>
      <c r="D133" s="13">
        <v>0</v>
      </c>
      <c r="E133" s="13">
        <v>1</v>
      </c>
      <c r="F133" s="21">
        <v>0</v>
      </c>
      <c r="G133" s="13" t="s">
        <v>323</v>
      </c>
    </row>
    <row r="134" spans="1:7" ht="14.4">
      <c r="A134">
        <f t="shared" si="2"/>
        <v>133</v>
      </c>
      <c r="B134" s="14">
        <v>210</v>
      </c>
      <c r="C134" s="13">
        <v>0</v>
      </c>
      <c r="D134" s="13">
        <v>0</v>
      </c>
      <c r="E134" s="13">
        <v>1</v>
      </c>
      <c r="F134" s="21">
        <v>1</v>
      </c>
      <c r="G134" s="13" t="s">
        <v>326</v>
      </c>
    </row>
    <row r="135" spans="1:7" ht="14.4">
      <c r="A135">
        <f t="shared" si="2"/>
        <v>134</v>
      </c>
      <c r="B135" s="14">
        <v>211</v>
      </c>
      <c r="C135" s="13">
        <v>0</v>
      </c>
      <c r="D135" s="13">
        <v>0</v>
      </c>
      <c r="E135" s="13">
        <v>1</v>
      </c>
      <c r="F135" s="21">
        <v>1</v>
      </c>
      <c r="G135" s="13" t="s">
        <v>328</v>
      </c>
    </row>
    <row r="136" spans="1:7" ht="14.4">
      <c r="A136">
        <f t="shared" si="2"/>
        <v>135</v>
      </c>
      <c r="B136" s="14">
        <v>212</v>
      </c>
      <c r="C136" s="13">
        <v>0</v>
      </c>
      <c r="D136" s="13">
        <v>1</v>
      </c>
      <c r="E136" s="13">
        <v>1</v>
      </c>
      <c r="F136" s="21">
        <v>1</v>
      </c>
      <c r="G136" s="13" t="s">
        <v>330</v>
      </c>
    </row>
    <row r="137" spans="1:7" ht="14.4">
      <c r="A137">
        <f t="shared" si="2"/>
        <v>136</v>
      </c>
      <c r="B137" s="14">
        <v>214</v>
      </c>
      <c r="C137" s="13">
        <v>0</v>
      </c>
      <c r="D137" s="13">
        <v>0</v>
      </c>
      <c r="E137" s="13">
        <v>1</v>
      </c>
      <c r="F137" s="21">
        <v>1</v>
      </c>
      <c r="G137" s="13" t="s">
        <v>333</v>
      </c>
    </row>
    <row r="138" spans="1:7" ht="14.4">
      <c r="A138">
        <f t="shared" si="2"/>
        <v>137</v>
      </c>
      <c r="B138" s="14">
        <v>215</v>
      </c>
      <c r="C138" s="13">
        <v>1</v>
      </c>
      <c r="D138" s="13">
        <v>0</v>
      </c>
      <c r="E138" s="13">
        <v>1</v>
      </c>
      <c r="F138" s="21">
        <v>0</v>
      </c>
      <c r="G138" s="13" t="s">
        <v>335</v>
      </c>
    </row>
    <row r="139" spans="1:7" ht="14.4">
      <c r="A139">
        <f t="shared" si="2"/>
        <v>138</v>
      </c>
      <c r="B139" s="14">
        <v>217</v>
      </c>
      <c r="C139" s="13">
        <v>1</v>
      </c>
      <c r="D139" s="13">
        <v>1</v>
      </c>
      <c r="E139" s="13">
        <v>1</v>
      </c>
      <c r="F139" s="21">
        <v>1</v>
      </c>
      <c r="G139" s="13" t="s">
        <v>338</v>
      </c>
    </row>
    <row r="140" spans="1:7" ht="14.4">
      <c r="A140">
        <f t="shared" si="2"/>
        <v>139</v>
      </c>
      <c r="B140" s="14">
        <v>218</v>
      </c>
      <c r="C140" s="13">
        <v>1</v>
      </c>
      <c r="D140" s="13">
        <v>0</v>
      </c>
      <c r="E140" s="13">
        <v>0</v>
      </c>
      <c r="F140" s="21">
        <v>0</v>
      </c>
      <c r="G140" s="13" t="s">
        <v>340</v>
      </c>
    </row>
    <row r="141" spans="1:7" ht="14.4">
      <c r="A141">
        <f t="shared" si="2"/>
        <v>140</v>
      </c>
      <c r="B141" s="14">
        <v>220</v>
      </c>
      <c r="C141" s="13">
        <v>0</v>
      </c>
      <c r="D141" s="13">
        <v>0</v>
      </c>
      <c r="E141" s="13">
        <v>0</v>
      </c>
      <c r="F141" s="21">
        <v>0</v>
      </c>
      <c r="G141" s="13" t="s">
        <v>343</v>
      </c>
    </row>
    <row r="142" spans="1:7" ht="14.4">
      <c r="A142">
        <f t="shared" si="2"/>
        <v>141</v>
      </c>
      <c r="B142" s="14">
        <v>221</v>
      </c>
      <c r="C142" s="13">
        <v>0</v>
      </c>
      <c r="D142" s="13">
        <v>1</v>
      </c>
      <c r="E142" s="13">
        <v>0</v>
      </c>
      <c r="F142" s="21">
        <v>1</v>
      </c>
      <c r="G142" s="13" t="s">
        <v>345</v>
      </c>
    </row>
    <row r="143" spans="1:7" ht="14.4">
      <c r="A143">
        <f t="shared" si="2"/>
        <v>142</v>
      </c>
      <c r="B143" s="14">
        <v>222</v>
      </c>
      <c r="C143" s="13">
        <v>0</v>
      </c>
      <c r="D143" s="13">
        <v>0</v>
      </c>
      <c r="E143" s="13">
        <v>0</v>
      </c>
      <c r="F143" s="21">
        <v>0</v>
      </c>
      <c r="G143" s="13" t="s">
        <v>347</v>
      </c>
    </row>
    <row r="144" spans="1:7" ht="14.4">
      <c r="A144">
        <f t="shared" si="2"/>
        <v>143</v>
      </c>
      <c r="B144" s="14">
        <v>224</v>
      </c>
      <c r="C144" s="13">
        <v>1</v>
      </c>
      <c r="D144" s="13">
        <v>0</v>
      </c>
      <c r="E144" s="13">
        <v>0</v>
      </c>
      <c r="F144" s="21">
        <v>1</v>
      </c>
      <c r="G144" s="13" t="s">
        <v>350</v>
      </c>
    </row>
    <row r="145" spans="1:7" ht="14.4">
      <c r="A145">
        <f t="shared" si="2"/>
        <v>144</v>
      </c>
      <c r="B145" s="14">
        <v>225</v>
      </c>
      <c r="C145" s="13">
        <v>0</v>
      </c>
      <c r="D145" s="13">
        <v>1</v>
      </c>
      <c r="E145" s="13">
        <v>0</v>
      </c>
      <c r="F145" s="21">
        <v>1</v>
      </c>
      <c r="G145" s="13" t="s">
        <v>352</v>
      </c>
    </row>
    <row r="146" spans="1:7" ht="14.4">
      <c r="A146">
        <f t="shared" si="2"/>
        <v>145</v>
      </c>
      <c r="B146" s="14">
        <v>226</v>
      </c>
      <c r="C146" s="13">
        <v>1</v>
      </c>
      <c r="D146" s="13">
        <v>1</v>
      </c>
      <c r="E146" s="13">
        <v>0</v>
      </c>
      <c r="F146" s="21">
        <v>1</v>
      </c>
      <c r="G146" s="13" t="s">
        <v>347</v>
      </c>
    </row>
    <row r="147" spans="1:7" ht="14.4">
      <c r="A147">
        <f t="shared" si="2"/>
        <v>146</v>
      </c>
      <c r="B147" s="14">
        <v>228</v>
      </c>
      <c r="C147" s="13">
        <v>1</v>
      </c>
      <c r="D147" s="13">
        <v>0</v>
      </c>
      <c r="E147" s="13">
        <v>0</v>
      </c>
      <c r="F147" s="21">
        <v>1</v>
      </c>
      <c r="G147" s="13" t="s">
        <v>356</v>
      </c>
    </row>
    <row r="148" spans="1:7" ht="14.4">
      <c r="A148">
        <f t="shared" si="2"/>
        <v>147</v>
      </c>
      <c r="B148" s="14">
        <v>229</v>
      </c>
      <c r="C148" s="13">
        <v>1</v>
      </c>
      <c r="D148" s="13">
        <v>0</v>
      </c>
      <c r="E148" s="13">
        <v>0</v>
      </c>
      <c r="F148" s="21">
        <v>0</v>
      </c>
      <c r="G148" s="13" t="s">
        <v>358</v>
      </c>
    </row>
    <row r="149" spans="1:7" ht="14.4">
      <c r="A149">
        <f t="shared" si="2"/>
        <v>148</v>
      </c>
      <c r="B149" s="14">
        <v>231</v>
      </c>
      <c r="C149" s="13">
        <v>0</v>
      </c>
      <c r="D149" s="13">
        <v>0</v>
      </c>
      <c r="E149" s="13">
        <v>0</v>
      </c>
      <c r="F149" s="21">
        <v>0</v>
      </c>
      <c r="G149" s="13" t="s">
        <v>361</v>
      </c>
    </row>
    <row r="150" spans="1:7" ht="14.4">
      <c r="A150">
        <f t="shared" si="2"/>
        <v>149</v>
      </c>
      <c r="B150" s="14">
        <v>233</v>
      </c>
      <c r="C150" s="13">
        <v>1</v>
      </c>
      <c r="D150" s="13">
        <v>1</v>
      </c>
      <c r="E150" s="13">
        <v>1</v>
      </c>
      <c r="F150" s="21">
        <v>1</v>
      </c>
      <c r="G150" s="13" t="s">
        <v>364</v>
      </c>
    </row>
    <row r="151" spans="1:7" ht="14.4">
      <c r="A151">
        <f t="shared" si="2"/>
        <v>150</v>
      </c>
      <c r="B151" s="14">
        <v>234</v>
      </c>
      <c r="C151" s="13">
        <v>1</v>
      </c>
      <c r="D151" s="13">
        <v>1</v>
      </c>
      <c r="E151" s="13">
        <v>1</v>
      </c>
      <c r="F151" s="21">
        <v>1</v>
      </c>
      <c r="G151" s="13" t="s">
        <v>366</v>
      </c>
    </row>
    <row r="152" spans="1:7" ht="14.4">
      <c r="A152">
        <f t="shared" si="2"/>
        <v>151</v>
      </c>
      <c r="B152" s="14">
        <v>235</v>
      </c>
      <c r="C152" s="13">
        <v>1</v>
      </c>
      <c r="D152" s="13">
        <v>0</v>
      </c>
      <c r="E152" s="13">
        <v>0</v>
      </c>
      <c r="F152" s="21">
        <v>0</v>
      </c>
      <c r="G152" s="13" t="s">
        <v>368</v>
      </c>
    </row>
    <row r="153" spans="1:7" ht="14.4">
      <c r="A153">
        <f t="shared" si="2"/>
        <v>152</v>
      </c>
      <c r="B153" s="14">
        <v>237</v>
      </c>
      <c r="C153" s="13">
        <v>0</v>
      </c>
      <c r="D153" s="13">
        <v>1</v>
      </c>
      <c r="E153" s="13">
        <v>0</v>
      </c>
      <c r="F153" s="21">
        <v>0</v>
      </c>
      <c r="G153" s="13" t="s">
        <v>371</v>
      </c>
    </row>
    <row r="154" spans="1:7" ht="14.4">
      <c r="A154">
        <f t="shared" si="2"/>
        <v>153</v>
      </c>
      <c r="B154" s="14">
        <v>240</v>
      </c>
      <c r="C154" s="13">
        <v>1</v>
      </c>
      <c r="D154" s="13">
        <v>0</v>
      </c>
      <c r="E154" s="13">
        <v>0</v>
      </c>
      <c r="F154" s="21">
        <v>0</v>
      </c>
      <c r="G154" s="13" t="s">
        <v>375</v>
      </c>
    </row>
    <row r="155" spans="1:7" ht="14.4">
      <c r="A155">
        <f t="shared" si="2"/>
        <v>154</v>
      </c>
      <c r="B155" s="14">
        <v>241</v>
      </c>
      <c r="C155" s="13">
        <v>0</v>
      </c>
      <c r="D155" s="13">
        <v>1</v>
      </c>
      <c r="E155" s="13">
        <v>1</v>
      </c>
      <c r="F155" s="21">
        <v>0</v>
      </c>
      <c r="G155" s="13" t="s">
        <v>377</v>
      </c>
    </row>
    <row r="156" spans="1:7" ht="14.4">
      <c r="A156">
        <f t="shared" si="2"/>
        <v>155</v>
      </c>
      <c r="B156" s="14">
        <v>243</v>
      </c>
      <c r="C156" s="13">
        <v>1</v>
      </c>
      <c r="D156" s="13">
        <v>1</v>
      </c>
      <c r="E156" s="13">
        <v>1</v>
      </c>
      <c r="F156" s="21">
        <v>1</v>
      </c>
      <c r="G156" s="13" t="s">
        <v>380</v>
      </c>
    </row>
    <row r="157" spans="1:7" ht="14.4">
      <c r="A157">
        <f t="shared" si="2"/>
        <v>156</v>
      </c>
      <c r="B157" s="14">
        <v>244</v>
      </c>
      <c r="C157" s="13">
        <v>1</v>
      </c>
      <c r="D157" s="13">
        <v>0</v>
      </c>
      <c r="E157" s="13">
        <v>1</v>
      </c>
      <c r="F157" s="21">
        <v>1</v>
      </c>
      <c r="G157" s="13" t="s">
        <v>382</v>
      </c>
    </row>
    <row r="158" spans="1:7" ht="14.4">
      <c r="A158">
        <f t="shared" si="2"/>
        <v>157</v>
      </c>
      <c r="B158" s="14">
        <v>246</v>
      </c>
      <c r="C158" s="13">
        <v>1</v>
      </c>
      <c r="D158" s="13">
        <v>1</v>
      </c>
      <c r="E158" s="13">
        <v>0</v>
      </c>
      <c r="F158" s="21">
        <v>1</v>
      </c>
      <c r="G158" s="13" t="s">
        <v>385</v>
      </c>
    </row>
    <row r="159" spans="1:7" ht="14.4">
      <c r="A159">
        <f t="shared" si="2"/>
        <v>158</v>
      </c>
      <c r="B159" s="14">
        <v>248</v>
      </c>
      <c r="C159" s="13">
        <v>1</v>
      </c>
      <c r="D159" s="13">
        <v>1</v>
      </c>
      <c r="E159" s="13">
        <v>0</v>
      </c>
      <c r="F159" s="21">
        <v>0</v>
      </c>
      <c r="G159" s="13" t="s">
        <v>388</v>
      </c>
    </row>
    <row r="160" spans="1:7" ht="14.4">
      <c r="A160">
        <f t="shared" si="2"/>
        <v>159</v>
      </c>
      <c r="B160" s="14">
        <v>249</v>
      </c>
      <c r="C160" s="13">
        <v>1</v>
      </c>
      <c r="D160" s="13">
        <v>0</v>
      </c>
      <c r="E160" s="13">
        <v>0</v>
      </c>
      <c r="F160" s="21">
        <v>0</v>
      </c>
      <c r="G160" s="13" t="s">
        <v>390</v>
      </c>
    </row>
    <row r="161" spans="1:7" ht="14.4">
      <c r="A161">
        <f t="shared" si="2"/>
        <v>160</v>
      </c>
      <c r="B161" s="14">
        <v>252</v>
      </c>
      <c r="C161" s="13">
        <v>1</v>
      </c>
      <c r="D161" s="13">
        <v>0</v>
      </c>
      <c r="E161" s="13">
        <v>0</v>
      </c>
      <c r="F161" s="21">
        <v>0</v>
      </c>
      <c r="G161" s="13" t="s">
        <v>394</v>
      </c>
    </row>
    <row r="162" spans="1:7" ht="14.4">
      <c r="A162">
        <f t="shared" si="2"/>
        <v>161</v>
      </c>
      <c r="B162" s="14">
        <v>253</v>
      </c>
      <c r="C162" s="13">
        <v>1</v>
      </c>
      <c r="D162" s="13">
        <v>0</v>
      </c>
      <c r="E162" s="13">
        <v>0</v>
      </c>
      <c r="F162" s="21">
        <v>1</v>
      </c>
      <c r="G162" s="13" t="s">
        <v>396</v>
      </c>
    </row>
    <row r="163" spans="1:7" ht="14.4">
      <c r="A163">
        <f t="shared" si="2"/>
        <v>162</v>
      </c>
      <c r="B163" s="14">
        <v>256</v>
      </c>
      <c r="C163" s="13">
        <v>1</v>
      </c>
      <c r="D163" s="13">
        <v>1</v>
      </c>
      <c r="E163" s="13">
        <v>1</v>
      </c>
      <c r="F163" s="21">
        <v>1</v>
      </c>
      <c r="G163" s="13" t="s">
        <v>400</v>
      </c>
    </row>
    <row r="164" spans="1:7" ht="14.4">
      <c r="A164">
        <f t="shared" si="2"/>
        <v>163</v>
      </c>
      <c r="B164" s="14">
        <v>257</v>
      </c>
      <c r="C164" s="13">
        <v>0</v>
      </c>
      <c r="D164" s="13">
        <v>1</v>
      </c>
      <c r="E164" s="13">
        <v>1</v>
      </c>
      <c r="F164" s="21">
        <v>1</v>
      </c>
      <c r="G164" s="13" t="s">
        <v>402</v>
      </c>
    </row>
    <row r="165" spans="1:7" ht="14.4">
      <c r="A165">
        <f t="shared" si="2"/>
        <v>164</v>
      </c>
      <c r="B165" s="14">
        <v>258</v>
      </c>
      <c r="C165" s="13">
        <v>0</v>
      </c>
      <c r="D165" s="13">
        <v>0</v>
      </c>
      <c r="E165" s="13">
        <v>0</v>
      </c>
      <c r="F165" s="21">
        <v>0</v>
      </c>
      <c r="G165" s="13" t="s">
        <v>404</v>
      </c>
    </row>
    <row r="166" spans="1:7" ht="14.4">
      <c r="A166">
        <f t="shared" si="2"/>
        <v>165</v>
      </c>
      <c r="B166" s="14">
        <v>259</v>
      </c>
      <c r="C166" s="13">
        <v>0</v>
      </c>
      <c r="D166" s="13">
        <v>1</v>
      </c>
      <c r="E166" s="13">
        <v>0</v>
      </c>
      <c r="F166" s="21">
        <v>1</v>
      </c>
      <c r="G166" s="13" t="s">
        <v>406</v>
      </c>
    </row>
    <row r="167" spans="1:7" ht="14.4">
      <c r="A167">
        <f t="shared" si="2"/>
        <v>166</v>
      </c>
      <c r="B167" s="14">
        <v>264</v>
      </c>
      <c r="C167" s="13">
        <v>0</v>
      </c>
      <c r="D167" s="13">
        <v>1</v>
      </c>
      <c r="E167" s="13">
        <v>0</v>
      </c>
      <c r="F167" s="21">
        <v>1</v>
      </c>
      <c r="G167" s="13" t="s">
        <v>412</v>
      </c>
    </row>
    <row r="168" spans="1:7" ht="14.4">
      <c r="A168">
        <f t="shared" si="2"/>
        <v>167</v>
      </c>
      <c r="B168" s="14">
        <v>267</v>
      </c>
      <c r="C168" s="13">
        <v>0</v>
      </c>
      <c r="D168" s="13">
        <v>1</v>
      </c>
      <c r="E168" s="13">
        <v>0</v>
      </c>
      <c r="F168" s="21">
        <v>1</v>
      </c>
      <c r="G168" s="13" t="s">
        <v>416</v>
      </c>
    </row>
    <row r="169" spans="1:7" ht="14.4">
      <c r="A169">
        <f t="shared" si="2"/>
        <v>168</v>
      </c>
      <c r="B169" s="14">
        <v>268</v>
      </c>
      <c r="C169" s="13">
        <v>1</v>
      </c>
      <c r="D169" s="13">
        <v>0</v>
      </c>
      <c r="E169" s="13">
        <v>0</v>
      </c>
      <c r="F169" s="21">
        <v>0</v>
      </c>
      <c r="G169" s="13" t="s">
        <v>418</v>
      </c>
    </row>
    <row r="170" spans="1:7" ht="14.4">
      <c r="A170">
        <f t="shared" si="2"/>
        <v>169</v>
      </c>
      <c r="B170" s="14">
        <v>269</v>
      </c>
      <c r="C170" s="13">
        <v>0</v>
      </c>
      <c r="D170" s="13">
        <v>1</v>
      </c>
      <c r="E170" s="13">
        <v>0</v>
      </c>
      <c r="F170" s="21">
        <v>1</v>
      </c>
      <c r="G170" s="13" t="s">
        <v>420</v>
      </c>
    </row>
    <row r="171" spans="1:7" ht="14.4">
      <c r="A171">
        <f t="shared" si="2"/>
        <v>170</v>
      </c>
      <c r="B171" s="14">
        <v>270</v>
      </c>
      <c r="C171" s="13">
        <v>0</v>
      </c>
      <c r="D171" s="13">
        <v>0</v>
      </c>
      <c r="E171" s="13">
        <v>0</v>
      </c>
      <c r="F171" s="21">
        <v>0</v>
      </c>
      <c r="G171" s="13" t="s">
        <v>422</v>
      </c>
    </row>
    <row r="172" spans="1:7" ht="14.4">
      <c r="A172">
        <f t="shared" si="2"/>
        <v>171</v>
      </c>
      <c r="B172" s="14">
        <v>273</v>
      </c>
      <c r="C172" s="13">
        <v>0</v>
      </c>
      <c r="D172" s="13">
        <v>1</v>
      </c>
      <c r="E172" s="13">
        <v>0</v>
      </c>
      <c r="F172" s="21">
        <v>1</v>
      </c>
      <c r="G172" s="13" t="s">
        <v>427</v>
      </c>
    </row>
    <row r="173" spans="1:7" ht="14.4">
      <c r="A173">
        <f t="shared" si="2"/>
        <v>172</v>
      </c>
      <c r="B173" s="14">
        <v>274</v>
      </c>
      <c r="C173" s="13">
        <v>1</v>
      </c>
      <c r="D173" s="13">
        <v>0</v>
      </c>
      <c r="E173" s="13">
        <v>1</v>
      </c>
      <c r="F173" s="21">
        <v>1</v>
      </c>
      <c r="G173" s="13" t="s">
        <v>429</v>
      </c>
    </row>
    <row r="174" spans="1:7" ht="14.4">
      <c r="A174">
        <f t="shared" si="2"/>
        <v>173</v>
      </c>
      <c r="B174" s="14">
        <v>275</v>
      </c>
      <c r="C174" s="13">
        <v>1</v>
      </c>
      <c r="D174" s="13">
        <v>1</v>
      </c>
      <c r="E174" s="13">
        <v>0</v>
      </c>
      <c r="F174" s="21">
        <v>1</v>
      </c>
      <c r="G174" s="13" t="s">
        <v>431</v>
      </c>
    </row>
    <row r="175" spans="1:7" ht="14.4">
      <c r="A175">
        <f t="shared" si="2"/>
        <v>174</v>
      </c>
      <c r="B175" s="14">
        <v>277</v>
      </c>
      <c r="C175" s="13">
        <v>1</v>
      </c>
      <c r="D175" s="13">
        <v>1</v>
      </c>
      <c r="E175" s="13">
        <v>1</v>
      </c>
      <c r="F175" s="21">
        <v>1</v>
      </c>
      <c r="G175" s="13" t="s">
        <v>434</v>
      </c>
    </row>
    <row r="176" spans="1:7" ht="14.4">
      <c r="A176">
        <f t="shared" si="2"/>
        <v>175</v>
      </c>
      <c r="B176" s="14">
        <v>278</v>
      </c>
      <c r="C176" s="13">
        <v>1</v>
      </c>
      <c r="D176" s="13">
        <v>0</v>
      </c>
      <c r="E176" s="13">
        <v>0</v>
      </c>
      <c r="F176" s="21">
        <v>0</v>
      </c>
      <c r="G176" s="13" t="s">
        <v>436</v>
      </c>
    </row>
    <row r="177" spans="1:7" ht="14.4">
      <c r="A177">
        <f t="shared" si="2"/>
        <v>176</v>
      </c>
      <c r="B177" s="14">
        <v>280</v>
      </c>
      <c r="C177" s="13">
        <v>0</v>
      </c>
      <c r="D177" s="13">
        <v>0</v>
      </c>
      <c r="E177" s="13">
        <v>0</v>
      </c>
      <c r="F177" s="21">
        <v>0</v>
      </c>
      <c r="G177" s="13" t="s">
        <v>439</v>
      </c>
    </row>
    <row r="178" spans="1:7" ht="14.4">
      <c r="A178">
        <f t="shared" si="2"/>
        <v>177</v>
      </c>
      <c r="B178" s="14">
        <v>281</v>
      </c>
      <c r="C178" s="13">
        <v>1</v>
      </c>
      <c r="D178" s="13">
        <v>0</v>
      </c>
      <c r="E178" s="13">
        <v>0</v>
      </c>
      <c r="F178" s="21">
        <v>1</v>
      </c>
      <c r="G178" s="13" t="s">
        <v>441</v>
      </c>
    </row>
    <row r="179" spans="1:7" ht="14.4">
      <c r="A179">
        <f t="shared" si="2"/>
        <v>178</v>
      </c>
      <c r="B179" s="14">
        <v>282</v>
      </c>
      <c r="C179" s="13">
        <v>0</v>
      </c>
      <c r="D179" s="13">
        <v>1</v>
      </c>
      <c r="E179" s="13">
        <v>0</v>
      </c>
      <c r="F179" s="21">
        <v>0</v>
      </c>
      <c r="G179" s="13" t="s">
        <v>443</v>
      </c>
    </row>
    <row r="180" spans="1:7" ht="14.4">
      <c r="A180">
        <f t="shared" si="2"/>
        <v>179</v>
      </c>
      <c r="B180" s="14">
        <v>287</v>
      </c>
      <c r="C180" s="13">
        <v>1</v>
      </c>
      <c r="D180" s="13">
        <v>1</v>
      </c>
      <c r="E180" s="13">
        <v>0</v>
      </c>
      <c r="F180" s="21">
        <v>0</v>
      </c>
      <c r="G180" s="13" t="s">
        <v>449</v>
      </c>
    </row>
    <row r="181" spans="1:7" ht="14.4">
      <c r="A181">
        <f t="shared" si="2"/>
        <v>180</v>
      </c>
      <c r="B181" s="14">
        <v>291</v>
      </c>
      <c r="C181" s="13">
        <v>0</v>
      </c>
      <c r="D181" s="13">
        <v>0</v>
      </c>
      <c r="E181" s="13">
        <v>0</v>
      </c>
      <c r="F181" s="21">
        <v>0</v>
      </c>
      <c r="G181" s="13" t="s">
        <v>452</v>
      </c>
    </row>
    <row r="182" spans="1:7" ht="14.4">
      <c r="A182">
        <f t="shared" si="2"/>
        <v>181</v>
      </c>
      <c r="B182" s="14">
        <v>292</v>
      </c>
      <c r="C182" s="13">
        <v>1</v>
      </c>
      <c r="D182" s="13">
        <v>1</v>
      </c>
      <c r="E182" s="13">
        <v>1</v>
      </c>
      <c r="F182" s="21">
        <v>1</v>
      </c>
      <c r="G182" s="13" t="s">
        <v>454</v>
      </c>
    </row>
    <row r="183" spans="1:7" ht="14.4">
      <c r="A183">
        <f t="shared" si="2"/>
        <v>182</v>
      </c>
      <c r="B183" s="14">
        <v>304</v>
      </c>
      <c r="C183" s="13">
        <v>0</v>
      </c>
      <c r="D183" s="13">
        <v>0</v>
      </c>
      <c r="E183" s="13">
        <v>0</v>
      </c>
      <c r="F183" s="13">
        <v>0</v>
      </c>
      <c r="G183" t="s">
        <v>472</v>
      </c>
    </row>
    <row r="184" spans="1:7" ht="14.4">
      <c r="A184">
        <f t="shared" si="2"/>
        <v>183</v>
      </c>
      <c r="B184" s="14">
        <v>306</v>
      </c>
      <c r="C184" s="13">
        <v>1</v>
      </c>
      <c r="D184" s="13">
        <v>0</v>
      </c>
      <c r="E184" s="13">
        <v>0</v>
      </c>
      <c r="F184" s="13">
        <v>0</v>
      </c>
      <c r="G184" t="s">
        <v>475</v>
      </c>
    </row>
    <row r="185" spans="1:7" ht="14.4">
      <c r="A185">
        <f t="shared" si="2"/>
        <v>184</v>
      </c>
      <c r="B185" s="14">
        <v>308</v>
      </c>
      <c r="C185" s="13">
        <v>1</v>
      </c>
      <c r="D185" s="13">
        <v>0</v>
      </c>
      <c r="E185" s="13">
        <v>0</v>
      </c>
      <c r="F185" s="13">
        <v>0</v>
      </c>
      <c r="G185" t="s">
        <v>478</v>
      </c>
    </row>
    <row r="186" spans="1:7" ht="14.4">
      <c r="A186">
        <f t="shared" si="2"/>
        <v>185</v>
      </c>
      <c r="B186" s="14">
        <v>309</v>
      </c>
      <c r="C186" s="13">
        <v>1</v>
      </c>
      <c r="D186" s="13">
        <v>0</v>
      </c>
      <c r="E186" s="13">
        <v>0</v>
      </c>
      <c r="F186" s="13">
        <v>0</v>
      </c>
      <c r="G186" t="s">
        <v>480</v>
      </c>
    </row>
    <row r="187" spans="1:7" ht="14.4">
      <c r="A187">
        <f t="shared" si="2"/>
        <v>186</v>
      </c>
      <c r="B187" s="14">
        <v>310</v>
      </c>
      <c r="C187" s="13">
        <v>1</v>
      </c>
      <c r="D187" s="13">
        <v>0</v>
      </c>
      <c r="E187" s="13">
        <v>0</v>
      </c>
      <c r="F187" s="13">
        <v>0</v>
      </c>
      <c r="G187" s="20" t="s">
        <v>486</v>
      </c>
    </row>
    <row r="188" spans="1:7" ht="14.4">
      <c r="A188">
        <f t="shared" si="2"/>
        <v>187</v>
      </c>
      <c r="B188" s="14">
        <v>311</v>
      </c>
      <c r="C188" s="13">
        <v>1</v>
      </c>
      <c r="D188" s="13">
        <v>0</v>
      </c>
      <c r="E188" s="13">
        <v>0</v>
      </c>
      <c r="F188" s="13">
        <v>0</v>
      </c>
      <c r="G188" s="20" t="s">
        <v>487</v>
      </c>
    </row>
    <row r="189" spans="1:7" ht="14.4">
      <c r="A189">
        <f t="shared" si="2"/>
        <v>188</v>
      </c>
      <c r="B189" s="14">
        <v>312</v>
      </c>
      <c r="C189" s="13">
        <v>1</v>
      </c>
      <c r="D189" s="13">
        <v>0</v>
      </c>
      <c r="E189" s="13">
        <v>0</v>
      </c>
      <c r="F189" s="13">
        <v>0</v>
      </c>
      <c r="G189" s="20" t="s">
        <v>488</v>
      </c>
    </row>
    <row r="190" spans="1:7" ht="14.4">
      <c r="A190">
        <f t="shared" si="2"/>
        <v>189</v>
      </c>
      <c r="B190" s="14">
        <v>313</v>
      </c>
      <c r="C190" s="13">
        <v>0</v>
      </c>
      <c r="D190" s="13">
        <v>0</v>
      </c>
      <c r="E190" s="13">
        <v>0</v>
      </c>
      <c r="F190" s="13">
        <v>0</v>
      </c>
      <c r="G190" s="20" t="s">
        <v>489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93"/>
  <sheetViews>
    <sheetView tabSelected="1" zoomScale="71" workbookViewId="0">
      <pane xSplit="6" ySplit="19" topLeftCell="G20" activePane="bottomRight" state="frozen"/>
      <selection pane="topRight" activeCell="G1" sqref="G1"/>
      <selection pane="bottomLeft" activeCell="A20" sqref="A20"/>
      <selection pane="bottomRight" activeCell="H9" sqref="H9"/>
    </sheetView>
  </sheetViews>
  <sheetFormatPr defaultRowHeight="13.2"/>
  <cols>
    <col min="1" max="1" width="15" customWidth="1"/>
    <col min="2" max="2" width="23.109375" customWidth="1"/>
    <col min="3" max="3" width="18.88671875" customWidth="1"/>
    <col min="4" max="4" width="27.88671875" customWidth="1"/>
    <col min="5" max="5" width="18.33203125" customWidth="1"/>
    <col min="6" max="7" width="28.5546875" customWidth="1"/>
    <col min="13" max="13" width="28.5546875" customWidth="1"/>
    <col min="14" max="14" width="23.109375" customWidth="1"/>
    <col min="15" max="15" width="15.21875" customWidth="1"/>
    <col min="16" max="16" width="14.77734375" customWidth="1"/>
    <col min="19" max="19" width="20.88671875" customWidth="1"/>
  </cols>
  <sheetData>
    <row r="1" spans="1:22" ht="15.6">
      <c r="B1" s="39" t="s">
        <v>498</v>
      </c>
      <c r="C1" s="39"/>
      <c r="D1" s="39"/>
      <c r="E1" s="39"/>
      <c r="F1" s="39"/>
      <c r="G1" s="30"/>
      <c r="I1" s="40" t="s">
        <v>497</v>
      </c>
      <c r="J1" s="40"/>
      <c r="K1" s="40"/>
      <c r="L1" s="40"/>
      <c r="M1" s="40"/>
      <c r="N1" t="s">
        <v>509</v>
      </c>
      <c r="O1" s="15" t="s">
        <v>2</v>
      </c>
      <c r="P1" t="s">
        <v>504</v>
      </c>
      <c r="Q1">
        <f>SUMIF(A3:A193,"Wiley",C3:C193)</f>
        <v>0</v>
      </c>
      <c r="S1" t="s">
        <v>510</v>
      </c>
      <c r="T1" s="15" t="s">
        <v>2</v>
      </c>
      <c r="U1" t="s">
        <v>504</v>
      </c>
      <c r="V1">
        <f>SUMIF(M3:M193,"wiley ",I3:I193)</f>
        <v>1</v>
      </c>
    </row>
    <row r="2" spans="1:22">
      <c r="A2" t="s">
        <v>496</v>
      </c>
      <c r="B2" t="s">
        <v>0</v>
      </c>
      <c r="C2" t="s">
        <v>2</v>
      </c>
      <c r="D2" t="s">
        <v>3</v>
      </c>
      <c r="E2" t="s">
        <v>4</v>
      </c>
      <c r="F2" t="s">
        <v>491</v>
      </c>
      <c r="I2" t="s">
        <v>2</v>
      </c>
      <c r="J2" t="s">
        <v>3</v>
      </c>
      <c r="K2" t="s">
        <v>4</v>
      </c>
      <c r="L2" t="s">
        <v>491</v>
      </c>
      <c r="O2" s="15" t="s">
        <v>500</v>
      </c>
      <c r="P2" t="s">
        <v>504</v>
      </c>
      <c r="Q2">
        <v>0</v>
      </c>
      <c r="T2" s="15" t="s">
        <v>500</v>
      </c>
      <c r="U2" t="s">
        <v>504</v>
      </c>
      <c r="V2">
        <f>SUMIF(G3:G193,"wiley",J3:J193)</f>
        <v>0</v>
      </c>
    </row>
    <row r="3" spans="1:22" ht="14.4">
      <c r="A3" s="14">
        <v>1</v>
      </c>
      <c r="B3" s="13" t="s">
        <v>7</v>
      </c>
      <c r="C3">
        <v>1</v>
      </c>
      <c r="D3">
        <v>0</v>
      </c>
      <c r="E3">
        <v>0</v>
      </c>
      <c r="F3">
        <v>0</v>
      </c>
      <c r="G3" s="13" t="s">
        <v>11</v>
      </c>
      <c r="I3">
        <v>1</v>
      </c>
      <c r="J3">
        <v>0</v>
      </c>
      <c r="K3">
        <v>1</v>
      </c>
      <c r="L3">
        <v>1</v>
      </c>
      <c r="M3" s="13" t="s">
        <v>11</v>
      </c>
      <c r="O3" s="15" t="s">
        <v>501</v>
      </c>
      <c r="P3" t="s">
        <v>504</v>
      </c>
      <c r="Q3">
        <v>0</v>
      </c>
      <c r="T3" s="15" t="s">
        <v>501</v>
      </c>
      <c r="U3" t="s">
        <v>504</v>
      </c>
      <c r="V3">
        <f>SUMIF(G3:G193,"wiley ",L3:L193)</f>
        <v>1</v>
      </c>
    </row>
    <row r="4" spans="1:22" ht="14.4">
      <c r="A4" s="14">
        <v>2</v>
      </c>
      <c r="B4" s="13" t="s">
        <v>12</v>
      </c>
      <c r="C4">
        <v>1</v>
      </c>
      <c r="D4">
        <v>0</v>
      </c>
      <c r="E4">
        <v>1</v>
      </c>
      <c r="F4">
        <v>0</v>
      </c>
      <c r="G4" s="13" t="s">
        <v>11</v>
      </c>
      <c r="I4">
        <v>1</v>
      </c>
      <c r="J4">
        <v>0</v>
      </c>
      <c r="K4">
        <v>1</v>
      </c>
      <c r="L4">
        <v>1</v>
      </c>
      <c r="M4" s="13" t="s">
        <v>11</v>
      </c>
      <c r="O4" s="15" t="s">
        <v>503</v>
      </c>
      <c r="P4" t="s">
        <v>504</v>
      </c>
      <c r="Q4">
        <v>0</v>
      </c>
      <c r="T4" s="15" t="s">
        <v>503</v>
      </c>
      <c r="U4" t="s">
        <v>504</v>
      </c>
      <c r="V4">
        <f>SUMIF(G3:G193,"wiley ",K3:K193)</f>
        <v>1</v>
      </c>
    </row>
    <row r="5" spans="1:22" ht="14.4">
      <c r="A5" s="14">
        <v>3</v>
      </c>
      <c r="B5" s="13" t="s">
        <v>13</v>
      </c>
      <c r="C5">
        <v>1</v>
      </c>
      <c r="D5">
        <v>0</v>
      </c>
      <c r="E5">
        <v>0</v>
      </c>
      <c r="F5">
        <v>0</v>
      </c>
      <c r="G5" s="13" t="s">
        <v>11</v>
      </c>
      <c r="I5">
        <v>1</v>
      </c>
      <c r="J5">
        <v>0</v>
      </c>
      <c r="K5">
        <v>0</v>
      </c>
      <c r="L5">
        <v>0</v>
      </c>
      <c r="M5" s="13" t="s">
        <v>11</v>
      </c>
      <c r="O5" s="15" t="s">
        <v>2</v>
      </c>
      <c r="P5" s="15" t="s">
        <v>505</v>
      </c>
      <c r="Q5">
        <f>SUMIF(G3:G193,"WoS",C3:C193)</f>
        <v>8</v>
      </c>
      <c r="T5" s="15" t="s">
        <v>2</v>
      </c>
      <c r="U5" s="15" t="s">
        <v>505</v>
      </c>
      <c r="V5">
        <f>SUMIF(M3:M193,"WoS",I3:I193)</f>
        <v>13</v>
      </c>
    </row>
    <row r="6" spans="1:22" ht="14.4">
      <c r="A6" s="14">
        <v>4</v>
      </c>
      <c r="B6" s="13" t="s">
        <v>14</v>
      </c>
      <c r="C6">
        <v>1</v>
      </c>
      <c r="D6">
        <v>0</v>
      </c>
      <c r="E6">
        <v>0</v>
      </c>
      <c r="F6">
        <v>0</v>
      </c>
      <c r="G6" s="13" t="s">
        <v>11</v>
      </c>
      <c r="I6">
        <v>1</v>
      </c>
      <c r="J6">
        <v>0</v>
      </c>
      <c r="K6">
        <v>1</v>
      </c>
      <c r="L6">
        <v>0</v>
      </c>
      <c r="M6" s="13" t="s">
        <v>11</v>
      </c>
      <c r="O6" s="15" t="s">
        <v>500</v>
      </c>
      <c r="P6" s="15" t="s">
        <v>505</v>
      </c>
      <c r="Q6">
        <f>SUMIF(G3:G193,"WoS",D3:D193)</f>
        <v>0</v>
      </c>
      <c r="T6" s="15" t="s">
        <v>500</v>
      </c>
      <c r="U6" s="15" t="s">
        <v>505</v>
      </c>
      <c r="V6">
        <f>SUMIF(M3:M193,"WoS",J3:J193)</f>
        <v>4</v>
      </c>
    </row>
    <row r="7" spans="1:22" ht="14.4">
      <c r="A7" s="14">
        <v>5</v>
      </c>
      <c r="B7" s="13" t="s">
        <v>15</v>
      </c>
      <c r="C7">
        <v>0</v>
      </c>
      <c r="D7">
        <v>0</v>
      </c>
      <c r="E7">
        <v>0</v>
      </c>
      <c r="F7">
        <v>0</v>
      </c>
      <c r="G7" s="13" t="s">
        <v>11</v>
      </c>
      <c r="I7">
        <v>0</v>
      </c>
      <c r="J7">
        <v>0</v>
      </c>
      <c r="K7">
        <v>0</v>
      </c>
      <c r="L7">
        <v>1</v>
      </c>
      <c r="M7" s="13" t="s">
        <v>11</v>
      </c>
      <c r="O7" s="15" t="s">
        <v>501</v>
      </c>
      <c r="P7" s="15" t="s">
        <v>505</v>
      </c>
      <c r="Q7">
        <f>SUMIF(G3:G193,"WoS",F3:F193)</f>
        <v>14</v>
      </c>
      <c r="T7" s="15" t="s">
        <v>501</v>
      </c>
      <c r="U7" s="15" t="s">
        <v>505</v>
      </c>
      <c r="V7">
        <f>SUMIF(M3:M193,"WoS",L3:L193)</f>
        <v>45</v>
      </c>
    </row>
    <row r="8" spans="1:22" ht="14.4">
      <c r="A8" s="14">
        <v>6</v>
      </c>
      <c r="B8" s="13" t="s">
        <v>16</v>
      </c>
      <c r="C8">
        <v>0</v>
      </c>
      <c r="D8">
        <v>0</v>
      </c>
      <c r="E8">
        <v>0</v>
      </c>
      <c r="F8">
        <v>0</v>
      </c>
      <c r="G8" s="13" t="s">
        <v>11</v>
      </c>
      <c r="I8">
        <v>0</v>
      </c>
      <c r="J8">
        <v>0</v>
      </c>
      <c r="K8">
        <v>0</v>
      </c>
      <c r="L8">
        <v>0</v>
      </c>
      <c r="M8" s="13" t="s">
        <v>11</v>
      </c>
      <c r="O8" s="15" t="s">
        <v>503</v>
      </c>
      <c r="P8" s="15" t="s">
        <v>505</v>
      </c>
      <c r="Q8">
        <f>SUMIF(G3:G193,"WoS",E3:E193)</f>
        <v>16</v>
      </c>
      <c r="T8" s="15" t="s">
        <v>503</v>
      </c>
      <c r="U8" s="15" t="s">
        <v>505</v>
      </c>
      <c r="V8">
        <f>SUMIF(M3:M193,"WoS",K3:K193)</f>
        <v>32</v>
      </c>
    </row>
    <row r="9" spans="1:22" ht="14.4">
      <c r="A9" s="14">
        <v>7</v>
      </c>
      <c r="B9" s="13" t="s">
        <v>17</v>
      </c>
      <c r="C9">
        <v>0</v>
      </c>
      <c r="D9">
        <v>0</v>
      </c>
      <c r="E9">
        <v>0</v>
      </c>
      <c r="F9">
        <v>0</v>
      </c>
      <c r="G9" s="13" t="s">
        <v>11</v>
      </c>
      <c r="I9">
        <v>0</v>
      </c>
      <c r="J9">
        <v>0</v>
      </c>
      <c r="K9">
        <v>0</v>
      </c>
      <c r="L9">
        <v>0</v>
      </c>
      <c r="M9" s="13" t="s">
        <v>11</v>
      </c>
      <c r="O9" s="15" t="s">
        <v>2</v>
      </c>
      <c r="P9" t="s">
        <v>445</v>
      </c>
      <c r="Q9">
        <f>SUMIF(G3:G193,"Springer",C3:C193)</f>
        <v>1</v>
      </c>
      <c r="T9" s="15" t="s">
        <v>2</v>
      </c>
      <c r="U9" t="s">
        <v>445</v>
      </c>
      <c r="V9">
        <f>SUMIF(M3:M193,"Springer",I3:I193)</f>
        <v>2</v>
      </c>
    </row>
    <row r="10" spans="1:22" ht="14.4">
      <c r="A10" s="14">
        <v>9</v>
      </c>
      <c r="B10" s="13" t="s">
        <v>20</v>
      </c>
      <c r="C10">
        <v>0</v>
      </c>
      <c r="D10">
        <v>0</v>
      </c>
      <c r="E10">
        <v>0</v>
      </c>
      <c r="F10">
        <v>0</v>
      </c>
      <c r="G10" s="13" t="s">
        <v>11</v>
      </c>
      <c r="I10">
        <v>1</v>
      </c>
      <c r="J10">
        <v>0</v>
      </c>
      <c r="K10">
        <v>1</v>
      </c>
      <c r="L10">
        <v>1</v>
      </c>
      <c r="M10" s="13" t="s">
        <v>11</v>
      </c>
      <c r="O10" s="15" t="s">
        <v>500</v>
      </c>
      <c r="P10" t="s">
        <v>445</v>
      </c>
      <c r="Q10">
        <f>SUMIF(G3:G193,"Springer",D3:D193)</f>
        <v>0</v>
      </c>
      <c r="T10" s="15" t="s">
        <v>500</v>
      </c>
      <c r="U10" t="s">
        <v>445</v>
      </c>
      <c r="V10">
        <f>SUMIF(M3:M193,"Springer",J3:J193)</f>
        <v>1</v>
      </c>
    </row>
    <row r="11" spans="1:22" ht="14.4">
      <c r="A11" s="14">
        <v>10</v>
      </c>
      <c r="B11" s="13" t="s">
        <v>21</v>
      </c>
      <c r="C11">
        <v>0</v>
      </c>
      <c r="D11">
        <v>0</v>
      </c>
      <c r="E11">
        <v>1</v>
      </c>
      <c r="F11">
        <v>1</v>
      </c>
      <c r="G11" s="13" t="s">
        <v>11</v>
      </c>
      <c r="I11">
        <v>1</v>
      </c>
      <c r="J11">
        <v>0</v>
      </c>
      <c r="K11">
        <v>1</v>
      </c>
      <c r="L11">
        <v>1</v>
      </c>
      <c r="M11" s="13" t="s">
        <v>11</v>
      </c>
      <c r="O11" s="15" t="s">
        <v>501</v>
      </c>
      <c r="P11" t="s">
        <v>445</v>
      </c>
      <c r="Q11">
        <f>SUMIF(G3:G193,"Springer",F3:F193)</f>
        <v>1</v>
      </c>
      <c r="T11" s="15" t="s">
        <v>501</v>
      </c>
      <c r="U11" t="s">
        <v>445</v>
      </c>
      <c r="V11">
        <f>SUMIF(M3:M193,"Springer",L3:L193)</f>
        <v>2</v>
      </c>
    </row>
    <row r="12" spans="1:22" ht="14.4">
      <c r="A12" s="14">
        <v>12</v>
      </c>
      <c r="B12" s="13" t="s">
        <v>23</v>
      </c>
      <c r="C12">
        <v>1</v>
      </c>
      <c r="D12">
        <v>0</v>
      </c>
      <c r="E12">
        <v>1</v>
      </c>
      <c r="F12">
        <v>1</v>
      </c>
      <c r="G12" s="13" t="s">
        <v>11</v>
      </c>
      <c r="I12">
        <v>1</v>
      </c>
      <c r="J12">
        <v>0</v>
      </c>
      <c r="K12">
        <v>1</v>
      </c>
      <c r="L12">
        <v>1</v>
      </c>
      <c r="M12" s="13" t="s">
        <v>11</v>
      </c>
      <c r="O12" s="15" t="s">
        <v>503</v>
      </c>
      <c r="P12" t="s">
        <v>445</v>
      </c>
      <c r="Q12">
        <f>SUMIF(G3:G193,"Springer",E3:E193)</f>
        <v>0</v>
      </c>
      <c r="T12" s="15" t="s">
        <v>503</v>
      </c>
      <c r="U12" t="s">
        <v>445</v>
      </c>
      <c r="V12">
        <f>SUMIF(M3:M193,"Springer",K3:K193)</f>
        <v>2</v>
      </c>
    </row>
    <row r="13" spans="1:22" ht="14.4">
      <c r="A13" s="14">
        <v>13</v>
      </c>
      <c r="B13" s="13" t="s">
        <v>24</v>
      </c>
      <c r="C13">
        <v>0</v>
      </c>
      <c r="D13">
        <v>0</v>
      </c>
      <c r="E13">
        <v>0</v>
      </c>
      <c r="F13">
        <v>1</v>
      </c>
      <c r="G13" s="13" t="s">
        <v>11</v>
      </c>
      <c r="I13">
        <v>0</v>
      </c>
      <c r="J13">
        <v>0</v>
      </c>
      <c r="K13">
        <v>0</v>
      </c>
      <c r="L13">
        <v>1</v>
      </c>
      <c r="M13" s="13" t="s">
        <v>11</v>
      </c>
      <c r="O13" s="15" t="s">
        <v>2</v>
      </c>
      <c r="P13" t="s">
        <v>502</v>
      </c>
      <c r="Q13">
        <f>SUMIF(G3:G193,"Google Scholar",C3:C193)</f>
        <v>27</v>
      </c>
      <c r="T13" s="15" t="s">
        <v>2</v>
      </c>
      <c r="U13" t="s">
        <v>502</v>
      </c>
      <c r="V13">
        <f>SUMIF(M3:M193,"Google Scholar",I3:I193)</f>
        <v>89</v>
      </c>
    </row>
    <row r="14" spans="1:22" ht="14.4">
      <c r="A14" s="14">
        <v>14</v>
      </c>
      <c r="B14" s="13" t="s">
        <v>25</v>
      </c>
      <c r="C14">
        <v>0</v>
      </c>
      <c r="D14">
        <v>0</v>
      </c>
      <c r="E14">
        <v>1</v>
      </c>
      <c r="F14">
        <v>1</v>
      </c>
      <c r="G14" s="13" t="s">
        <v>11</v>
      </c>
      <c r="I14">
        <v>1</v>
      </c>
      <c r="J14">
        <v>0</v>
      </c>
      <c r="K14">
        <v>1</v>
      </c>
      <c r="L14">
        <v>1</v>
      </c>
      <c r="M14" s="13" t="s">
        <v>11</v>
      </c>
      <c r="O14" s="15" t="s">
        <v>500</v>
      </c>
      <c r="P14" t="s">
        <v>502</v>
      </c>
      <c r="Q14">
        <f>SUMIF(G3:G193,"Google Scholar",D3:D193)</f>
        <v>9</v>
      </c>
      <c r="T14" s="15" t="s">
        <v>500</v>
      </c>
      <c r="U14" t="s">
        <v>502</v>
      </c>
      <c r="V14">
        <f>SUMIF(M3:M193,"Google Scholar",J3:J193)</f>
        <v>17</v>
      </c>
    </row>
    <row r="15" spans="1:22" ht="14.4">
      <c r="A15" s="14">
        <v>16</v>
      </c>
      <c r="B15" s="13" t="s">
        <v>27</v>
      </c>
      <c r="C15">
        <v>0</v>
      </c>
      <c r="D15">
        <v>0</v>
      </c>
      <c r="E15">
        <v>0</v>
      </c>
      <c r="F15">
        <v>1</v>
      </c>
      <c r="G15" s="13" t="s">
        <v>11</v>
      </c>
      <c r="I15">
        <v>0</v>
      </c>
      <c r="J15">
        <v>0</v>
      </c>
      <c r="K15">
        <v>1</v>
      </c>
      <c r="L15">
        <v>1</v>
      </c>
      <c r="M15" s="13" t="s">
        <v>11</v>
      </c>
      <c r="O15" s="15" t="s">
        <v>501</v>
      </c>
      <c r="P15" t="s">
        <v>502</v>
      </c>
      <c r="Q15">
        <f>SUMIF(G3:G193,"Google Scholar",F3:F193)</f>
        <v>19</v>
      </c>
      <c r="T15" s="15" t="s">
        <v>501</v>
      </c>
      <c r="U15" t="s">
        <v>502</v>
      </c>
      <c r="V15">
        <f>SUMIF(M3:M193,"Google Scholar",L3:L193)</f>
        <v>89</v>
      </c>
    </row>
    <row r="16" spans="1:22" ht="14.4">
      <c r="A16" s="14">
        <v>19</v>
      </c>
      <c r="B16" s="13" t="s">
        <v>30</v>
      </c>
      <c r="C16">
        <v>0</v>
      </c>
      <c r="D16">
        <v>0</v>
      </c>
      <c r="E16">
        <v>0</v>
      </c>
      <c r="F16">
        <v>0</v>
      </c>
      <c r="G16" s="13" t="s">
        <v>11</v>
      </c>
      <c r="I16">
        <v>0</v>
      </c>
      <c r="J16">
        <v>0</v>
      </c>
      <c r="K16">
        <v>0</v>
      </c>
      <c r="L16">
        <v>1</v>
      </c>
      <c r="M16" s="13" t="s">
        <v>11</v>
      </c>
      <c r="O16" s="15" t="s">
        <v>503</v>
      </c>
      <c r="P16" t="s">
        <v>502</v>
      </c>
      <c r="Q16">
        <f>SUMIF(G3:G193,"Google Scholar",E3:E193)</f>
        <v>5</v>
      </c>
      <c r="T16" s="15" t="s">
        <v>503</v>
      </c>
      <c r="U16" t="s">
        <v>502</v>
      </c>
      <c r="V16">
        <f>SUMIF(M3:M193,"Google Scholar",K3:K193)</f>
        <v>48</v>
      </c>
    </row>
    <row r="17" spans="1:22" ht="14.4">
      <c r="A17" s="14">
        <v>20</v>
      </c>
      <c r="B17" s="13" t="s">
        <v>31</v>
      </c>
      <c r="C17">
        <v>0</v>
      </c>
      <c r="D17">
        <v>0</v>
      </c>
      <c r="E17">
        <v>1</v>
      </c>
      <c r="F17">
        <v>0</v>
      </c>
      <c r="G17" s="13" t="s">
        <v>11</v>
      </c>
      <c r="I17">
        <v>0</v>
      </c>
      <c r="J17">
        <v>0</v>
      </c>
      <c r="K17">
        <v>1</v>
      </c>
      <c r="L17">
        <v>1</v>
      </c>
      <c r="M17" s="13" t="s">
        <v>11</v>
      </c>
      <c r="O17" s="15" t="s">
        <v>2</v>
      </c>
      <c r="P17" t="s">
        <v>490</v>
      </c>
      <c r="Q17">
        <v>0</v>
      </c>
      <c r="T17" s="15" t="s">
        <v>2</v>
      </c>
      <c r="U17" t="s">
        <v>490</v>
      </c>
      <c r="V17">
        <f>SUMIF(M3:M193,"ACM",I3:I193)</f>
        <v>3</v>
      </c>
    </row>
    <row r="18" spans="1:22" ht="14.4">
      <c r="A18" s="14">
        <v>21</v>
      </c>
      <c r="B18" s="13" t="s">
        <v>32</v>
      </c>
      <c r="C18">
        <v>0</v>
      </c>
      <c r="D18">
        <v>0</v>
      </c>
      <c r="E18">
        <v>0</v>
      </c>
      <c r="F18">
        <v>0</v>
      </c>
      <c r="G18" s="13" t="s">
        <v>11</v>
      </c>
      <c r="I18">
        <v>0</v>
      </c>
      <c r="J18">
        <v>0</v>
      </c>
      <c r="K18">
        <v>1</v>
      </c>
      <c r="L18">
        <v>0</v>
      </c>
      <c r="M18" s="13" t="s">
        <v>11</v>
      </c>
      <c r="O18" s="15" t="s">
        <v>500</v>
      </c>
      <c r="P18" t="s">
        <v>490</v>
      </c>
      <c r="Q18">
        <v>0</v>
      </c>
      <c r="T18" s="15" t="s">
        <v>500</v>
      </c>
      <c r="U18" t="s">
        <v>490</v>
      </c>
      <c r="V18">
        <f>SUMIF(M3:M193,"ACM",J3:J193)</f>
        <v>3</v>
      </c>
    </row>
    <row r="19" spans="1:22" ht="14.4">
      <c r="A19" s="14">
        <v>23</v>
      </c>
      <c r="B19" s="13" t="s">
        <v>34</v>
      </c>
      <c r="C19">
        <v>0</v>
      </c>
      <c r="D19">
        <v>0</v>
      </c>
      <c r="E19">
        <v>1</v>
      </c>
      <c r="F19">
        <v>1</v>
      </c>
      <c r="G19" s="13" t="s">
        <v>11</v>
      </c>
      <c r="I19">
        <v>0</v>
      </c>
      <c r="J19">
        <v>0</v>
      </c>
      <c r="K19">
        <v>1</v>
      </c>
      <c r="L19">
        <v>1</v>
      </c>
      <c r="M19" s="13" t="s">
        <v>11</v>
      </c>
      <c r="O19" s="15" t="s">
        <v>501</v>
      </c>
      <c r="P19" t="s">
        <v>490</v>
      </c>
      <c r="Q19">
        <v>0</v>
      </c>
      <c r="T19" s="15" t="s">
        <v>501</v>
      </c>
      <c r="U19" t="s">
        <v>490</v>
      </c>
      <c r="V19">
        <f>SUMIF(M3:M193,"ACM",L3:L193)</f>
        <v>4</v>
      </c>
    </row>
    <row r="20" spans="1:22" ht="14.4">
      <c r="A20" s="14">
        <v>25</v>
      </c>
      <c r="B20" s="13" t="s">
        <v>36</v>
      </c>
      <c r="C20">
        <v>0</v>
      </c>
      <c r="D20">
        <v>0</v>
      </c>
      <c r="E20">
        <v>0</v>
      </c>
      <c r="F20">
        <v>0</v>
      </c>
      <c r="G20" s="13" t="s">
        <v>11</v>
      </c>
      <c r="I20">
        <v>0</v>
      </c>
      <c r="J20">
        <v>0</v>
      </c>
      <c r="K20">
        <v>0</v>
      </c>
      <c r="L20">
        <v>0</v>
      </c>
      <c r="M20" s="13" t="s">
        <v>11</v>
      </c>
      <c r="O20" s="15" t="s">
        <v>503</v>
      </c>
      <c r="P20" t="s">
        <v>490</v>
      </c>
      <c r="Q20">
        <v>0</v>
      </c>
      <c r="T20" s="15" t="s">
        <v>503</v>
      </c>
      <c r="U20" t="s">
        <v>490</v>
      </c>
      <c r="V20">
        <f>SUMIF(M3:M193,"ACM",K3:K193)</f>
        <v>2</v>
      </c>
    </row>
    <row r="21" spans="1:22" ht="14.4">
      <c r="A21" s="14">
        <v>26</v>
      </c>
      <c r="B21" s="13" t="s">
        <v>37</v>
      </c>
      <c r="C21">
        <v>1</v>
      </c>
      <c r="D21">
        <v>0</v>
      </c>
      <c r="E21">
        <v>0</v>
      </c>
      <c r="F21">
        <v>0</v>
      </c>
      <c r="G21" s="13" t="s">
        <v>11</v>
      </c>
      <c r="I21">
        <v>1</v>
      </c>
      <c r="J21">
        <v>0</v>
      </c>
      <c r="K21">
        <v>1</v>
      </c>
      <c r="L21">
        <v>0</v>
      </c>
      <c r="M21" s="13" t="s">
        <v>11</v>
      </c>
      <c r="O21" s="15" t="s">
        <v>2</v>
      </c>
      <c r="P21" s="15" t="s">
        <v>482</v>
      </c>
      <c r="Q21">
        <v>1</v>
      </c>
      <c r="T21" s="15" t="s">
        <v>2</v>
      </c>
      <c r="U21" s="15" t="s">
        <v>482</v>
      </c>
      <c r="V21">
        <f>SUMIF(M3:M193,"Science Direct",I3:I193)</f>
        <v>2</v>
      </c>
    </row>
    <row r="22" spans="1:22" ht="14.4">
      <c r="A22" s="14">
        <v>27</v>
      </c>
      <c r="B22" s="13" t="s">
        <v>38</v>
      </c>
      <c r="C22">
        <v>0</v>
      </c>
      <c r="D22">
        <v>0</v>
      </c>
      <c r="E22">
        <v>1</v>
      </c>
      <c r="F22">
        <v>0</v>
      </c>
      <c r="G22" s="13" t="s">
        <v>11</v>
      </c>
      <c r="I22">
        <v>0</v>
      </c>
      <c r="J22">
        <v>0</v>
      </c>
      <c r="K22">
        <v>0</v>
      </c>
      <c r="L22">
        <v>1</v>
      </c>
      <c r="M22" s="13" t="s">
        <v>11</v>
      </c>
      <c r="O22" s="15" t="s">
        <v>500</v>
      </c>
      <c r="P22" s="15" t="s">
        <v>482</v>
      </c>
      <c r="Q22">
        <v>0</v>
      </c>
      <c r="T22" s="15" t="s">
        <v>500</v>
      </c>
      <c r="U22" s="15" t="s">
        <v>482</v>
      </c>
      <c r="V22">
        <f>SUMIF(M3:M193,"Science Direct",J3:J193)</f>
        <v>0</v>
      </c>
    </row>
    <row r="23" spans="1:22" ht="14.4">
      <c r="A23" s="14">
        <v>28</v>
      </c>
      <c r="B23" s="13" t="s">
        <v>39</v>
      </c>
      <c r="C23">
        <v>1</v>
      </c>
      <c r="D23">
        <v>0</v>
      </c>
      <c r="E23">
        <v>0</v>
      </c>
      <c r="F23">
        <v>0</v>
      </c>
      <c r="G23" s="13" t="s">
        <v>11</v>
      </c>
      <c r="I23">
        <v>1</v>
      </c>
      <c r="J23">
        <v>0</v>
      </c>
      <c r="K23">
        <v>1</v>
      </c>
      <c r="L23">
        <v>1</v>
      </c>
      <c r="M23" s="13" t="s">
        <v>11</v>
      </c>
      <c r="O23" s="15" t="s">
        <v>501</v>
      </c>
      <c r="P23" s="15" t="s">
        <v>482</v>
      </c>
      <c r="Q23">
        <v>0</v>
      </c>
      <c r="T23" s="15" t="s">
        <v>501</v>
      </c>
      <c r="U23" s="15" t="s">
        <v>482</v>
      </c>
      <c r="V23">
        <f>SUMIF(M3:M193,"Science Direct",L3:L193)</f>
        <v>2</v>
      </c>
    </row>
    <row r="24" spans="1:22" ht="14.4">
      <c r="A24" s="14">
        <v>29</v>
      </c>
      <c r="B24" s="13" t="s">
        <v>40</v>
      </c>
      <c r="C24">
        <v>0</v>
      </c>
      <c r="D24">
        <v>0</v>
      </c>
      <c r="E24">
        <v>1</v>
      </c>
      <c r="F24">
        <v>0</v>
      </c>
      <c r="G24" s="13" t="s">
        <v>11</v>
      </c>
      <c r="I24">
        <v>0</v>
      </c>
      <c r="J24">
        <v>0</v>
      </c>
      <c r="K24">
        <v>1</v>
      </c>
      <c r="L24">
        <v>0</v>
      </c>
      <c r="M24" s="13" t="s">
        <v>11</v>
      </c>
      <c r="O24" s="15" t="s">
        <v>503</v>
      </c>
      <c r="P24" s="15" t="s">
        <v>482</v>
      </c>
      <c r="Q24">
        <v>0</v>
      </c>
      <c r="T24" s="15" t="s">
        <v>503</v>
      </c>
      <c r="U24" s="15" t="s">
        <v>482</v>
      </c>
      <c r="V24">
        <f>SUMIF(M3:M193,"Science Direct",K3:K193)</f>
        <v>2</v>
      </c>
    </row>
    <row r="25" spans="1:22" ht="14.4">
      <c r="A25" s="14">
        <v>30</v>
      </c>
      <c r="B25" s="13" t="s">
        <v>41</v>
      </c>
      <c r="C25">
        <v>0</v>
      </c>
      <c r="D25">
        <v>0</v>
      </c>
      <c r="E25">
        <v>0</v>
      </c>
      <c r="F25">
        <v>0</v>
      </c>
      <c r="G25" s="13" t="s">
        <v>11</v>
      </c>
      <c r="I25">
        <v>0</v>
      </c>
      <c r="J25">
        <v>0</v>
      </c>
      <c r="K25">
        <v>1</v>
      </c>
      <c r="L25">
        <v>0</v>
      </c>
      <c r="M25" s="13" t="s">
        <v>11</v>
      </c>
    </row>
    <row r="26" spans="1:22" ht="14.4">
      <c r="A26" s="14">
        <v>31</v>
      </c>
      <c r="B26" s="13" t="s">
        <v>42</v>
      </c>
      <c r="C26">
        <v>1</v>
      </c>
      <c r="D26">
        <v>0</v>
      </c>
      <c r="E26">
        <v>0</v>
      </c>
      <c r="F26">
        <v>0</v>
      </c>
      <c r="G26" s="13" t="s">
        <v>11</v>
      </c>
      <c r="I26">
        <v>1</v>
      </c>
      <c r="J26">
        <v>0</v>
      </c>
      <c r="K26">
        <v>0</v>
      </c>
      <c r="L26">
        <v>0</v>
      </c>
      <c r="M26" s="13" t="s">
        <v>11</v>
      </c>
    </row>
    <row r="27" spans="1:22" ht="14.4">
      <c r="A27" s="14">
        <v>33</v>
      </c>
      <c r="B27" s="13" t="s">
        <v>44</v>
      </c>
      <c r="C27">
        <v>0</v>
      </c>
      <c r="D27">
        <v>0</v>
      </c>
      <c r="E27">
        <v>0</v>
      </c>
      <c r="F27">
        <v>1</v>
      </c>
      <c r="G27" s="13" t="s">
        <v>11</v>
      </c>
      <c r="I27">
        <v>0</v>
      </c>
      <c r="J27">
        <v>0</v>
      </c>
      <c r="K27">
        <v>1</v>
      </c>
      <c r="L27">
        <v>1</v>
      </c>
      <c r="M27" s="13" t="s">
        <v>11</v>
      </c>
    </row>
    <row r="28" spans="1:22" ht="14.4">
      <c r="A28" s="14">
        <v>34</v>
      </c>
      <c r="B28" s="13" t="s">
        <v>45</v>
      </c>
      <c r="C28">
        <v>0</v>
      </c>
      <c r="D28">
        <v>0</v>
      </c>
      <c r="E28">
        <v>0</v>
      </c>
      <c r="F28">
        <v>0</v>
      </c>
      <c r="G28" s="13" t="s">
        <v>11</v>
      </c>
      <c r="I28">
        <v>0</v>
      </c>
      <c r="J28">
        <v>0</v>
      </c>
      <c r="K28">
        <v>0</v>
      </c>
      <c r="L28">
        <v>0</v>
      </c>
      <c r="M28" s="13" t="s">
        <v>11</v>
      </c>
    </row>
    <row r="29" spans="1:22" ht="14.4">
      <c r="A29" s="14">
        <v>35</v>
      </c>
      <c r="B29" s="13" t="s">
        <v>46</v>
      </c>
      <c r="C29">
        <v>0</v>
      </c>
      <c r="D29">
        <v>0</v>
      </c>
      <c r="E29">
        <v>0</v>
      </c>
      <c r="F29">
        <v>0</v>
      </c>
      <c r="G29" s="13" t="s">
        <v>11</v>
      </c>
      <c r="I29">
        <v>0</v>
      </c>
      <c r="J29">
        <v>0</v>
      </c>
      <c r="K29">
        <v>0</v>
      </c>
      <c r="L29">
        <v>1</v>
      </c>
      <c r="M29" s="13" t="s">
        <v>11</v>
      </c>
    </row>
    <row r="30" spans="1:22" ht="14.4">
      <c r="A30" s="14">
        <v>37</v>
      </c>
      <c r="B30" s="13" t="s">
        <v>48</v>
      </c>
      <c r="C30">
        <v>0</v>
      </c>
      <c r="D30">
        <v>0</v>
      </c>
      <c r="E30">
        <v>0</v>
      </c>
      <c r="F30">
        <v>0</v>
      </c>
      <c r="G30" s="13" t="s">
        <v>11</v>
      </c>
      <c r="I30">
        <v>0</v>
      </c>
      <c r="J30">
        <v>0</v>
      </c>
      <c r="K30">
        <v>1</v>
      </c>
      <c r="L30">
        <v>1</v>
      </c>
      <c r="M30" s="13" t="s">
        <v>11</v>
      </c>
    </row>
    <row r="31" spans="1:22" ht="14.4">
      <c r="A31" s="14">
        <v>39</v>
      </c>
      <c r="B31" s="13" t="s">
        <v>50</v>
      </c>
      <c r="C31">
        <v>0</v>
      </c>
      <c r="D31">
        <v>0</v>
      </c>
      <c r="E31">
        <v>1</v>
      </c>
      <c r="F31">
        <v>0</v>
      </c>
      <c r="G31" s="13" t="s">
        <v>11</v>
      </c>
      <c r="I31">
        <v>0</v>
      </c>
      <c r="J31">
        <v>0</v>
      </c>
      <c r="K31">
        <v>1</v>
      </c>
      <c r="L31">
        <v>1</v>
      </c>
      <c r="M31" s="13" t="s">
        <v>11</v>
      </c>
    </row>
    <row r="32" spans="1:22" ht="14.4">
      <c r="A32" s="14">
        <v>40</v>
      </c>
      <c r="B32" s="13" t="s">
        <v>51</v>
      </c>
      <c r="C32">
        <v>0</v>
      </c>
      <c r="D32">
        <v>0</v>
      </c>
      <c r="E32">
        <v>0</v>
      </c>
      <c r="F32">
        <v>0</v>
      </c>
      <c r="G32" s="13" t="s">
        <v>11</v>
      </c>
      <c r="I32">
        <v>0</v>
      </c>
      <c r="J32">
        <v>0</v>
      </c>
      <c r="K32">
        <v>1</v>
      </c>
      <c r="L32">
        <v>1</v>
      </c>
      <c r="M32" s="13" t="s">
        <v>11</v>
      </c>
    </row>
    <row r="33" spans="1:13" ht="14.4">
      <c r="A33" s="14">
        <v>41</v>
      </c>
      <c r="B33" s="13" t="s">
        <v>52</v>
      </c>
      <c r="C33">
        <v>0</v>
      </c>
      <c r="D33">
        <v>0</v>
      </c>
      <c r="E33">
        <v>0</v>
      </c>
      <c r="F33">
        <v>1</v>
      </c>
      <c r="G33" s="13" t="s">
        <v>11</v>
      </c>
      <c r="I33">
        <v>0</v>
      </c>
      <c r="J33">
        <v>0</v>
      </c>
      <c r="K33">
        <v>0</v>
      </c>
      <c r="L33">
        <v>1</v>
      </c>
      <c r="M33" s="13" t="s">
        <v>11</v>
      </c>
    </row>
    <row r="34" spans="1:13" ht="14.4">
      <c r="A34" s="14">
        <v>42</v>
      </c>
      <c r="B34" s="13" t="s">
        <v>53</v>
      </c>
      <c r="C34">
        <v>0</v>
      </c>
      <c r="D34">
        <v>0</v>
      </c>
      <c r="E34">
        <v>0</v>
      </c>
      <c r="F34">
        <v>0</v>
      </c>
      <c r="G34" s="13" t="s">
        <v>11</v>
      </c>
      <c r="I34">
        <v>0</v>
      </c>
      <c r="J34">
        <v>0</v>
      </c>
      <c r="K34">
        <v>0</v>
      </c>
      <c r="L34">
        <v>0</v>
      </c>
      <c r="M34" s="13" t="s">
        <v>11</v>
      </c>
    </row>
    <row r="35" spans="1:13" ht="14.4">
      <c r="A35" s="14">
        <v>44</v>
      </c>
      <c r="B35" s="13" t="s">
        <v>55</v>
      </c>
      <c r="C35">
        <v>0</v>
      </c>
      <c r="D35">
        <v>0</v>
      </c>
      <c r="E35">
        <v>0</v>
      </c>
      <c r="F35">
        <v>0</v>
      </c>
      <c r="G35" s="13" t="s">
        <v>11</v>
      </c>
      <c r="I35">
        <v>0</v>
      </c>
      <c r="J35">
        <v>0</v>
      </c>
      <c r="K35">
        <v>1</v>
      </c>
      <c r="L35">
        <v>1</v>
      </c>
      <c r="M35" s="13" t="s">
        <v>11</v>
      </c>
    </row>
    <row r="36" spans="1:13" ht="14.4">
      <c r="A36" s="14">
        <v>45</v>
      </c>
      <c r="B36" s="13" t="s">
        <v>56</v>
      </c>
      <c r="C36">
        <v>0</v>
      </c>
      <c r="D36">
        <v>0</v>
      </c>
      <c r="E36">
        <v>1</v>
      </c>
      <c r="F36">
        <v>0</v>
      </c>
      <c r="G36" s="13" t="s">
        <v>11</v>
      </c>
      <c r="I36">
        <v>0</v>
      </c>
      <c r="J36">
        <v>0</v>
      </c>
      <c r="K36">
        <v>0</v>
      </c>
      <c r="L36">
        <v>1</v>
      </c>
      <c r="M36" s="13" t="s">
        <v>11</v>
      </c>
    </row>
    <row r="37" spans="1:13" ht="14.4">
      <c r="A37" s="14">
        <v>46</v>
      </c>
      <c r="B37" s="13" t="s">
        <v>57</v>
      </c>
      <c r="C37">
        <v>0</v>
      </c>
      <c r="D37">
        <v>0</v>
      </c>
      <c r="E37">
        <v>0</v>
      </c>
      <c r="F37">
        <v>0</v>
      </c>
      <c r="G37" s="13" t="s">
        <v>11</v>
      </c>
      <c r="I37">
        <v>0</v>
      </c>
      <c r="J37">
        <v>0</v>
      </c>
      <c r="K37">
        <v>0</v>
      </c>
      <c r="L37">
        <v>1</v>
      </c>
      <c r="M37" s="13" t="s">
        <v>11</v>
      </c>
    </row>
    <row r="38" spans="1:13" ht="14.4">
      <c r="A38" s="14">
        <v>48</v>
      </c>
      <c r="B38" s="13" t="s">
        <v>59</v>
      </c>
      <c r="C38">
        <v>0</v>
      </c>
      <c r="D38">
        <v>0</v>
      </c>
      <c r="E38">
        <v>0</v>
      </c>
      <c r="F38">
        <v>0</v>
      </c>
      <c r="G38" s="13" t="s">
        <v>11</v>
      </c>
      <c r="I38">
        <v>1</v>
      </c>
      <c r="J38">
        <v>0</v>
      </c>
      <c r="K38">
        <v>0</v>
      </c>
      <c r="L38">
        <v>1</v>
      </c>
      <c r="M38" s="13" t="s">
        <v>11</v>
      </c>
    </row>
    <row r="39" spans="1:13" ht="14.4">
      <c r="A39" s="14">
        <v>49</v>
      </c>
      <c r="B39" s="13" t="s">
        <v>60</v>
      </c>
      <c r="C39">
        <v>0</v>
      </c>
      <c r="D39">
        <v>0</v>
      </c>
      <c r="E39">
        <v>0</v>
      </c>
      <c r="F39">
        <v>0</v>
      </c>
      <c r="G39" s="13" t="s">
        <v>11</v>
      </c>
      <c r="I39">
        <v>0</v>
      </c>
      <c r="J39">
        <v>0</v>
      </c>
      <c r="K39">
        <v>1</v>
      </c>
      <c r="L39">
        <v>1</v>
      </c>
      <c r="M39" s="13" t="s">
        <v>11</v>
      </c>
    </row>
    <row r="40" spans="1:13" ht="14.4">
      <c r="A40" s="14">
        <v>50</v>
      </c>
      <c r="B40" s="13" t="s">
        <v>61</v>
      </c>
      <c r="C40">
        <v>0</v>
      </c>
      <c r="D40">
        <v>0</v>
      </c>
      <c r="E40">
        <v>0</v>
      </c>
      <c r="F40">
        <v>1</v>
      </c>
      <c r="G40" s="13" t="s">
        <v>11</v>
      </c>
      <c r="I40">
        <v>0</v>
      </c>
      <c r="J40">
        <v>1</v>
      </c>
      <c r="K40">
        <v>1</v>
      </c>
      <c r="L40">
        <v>1</v>
      </c>
      <c r="M40" s="13" t="s">
        <v>11</v>
      </c>
    </row>
    <row r="41" spans="1:13" ht="14.4">
      <c r="A41" s="14">
        <v>51</v>
      </c>
      <c r="B41" s="13" t="s">
        <v>62</v>
      </c>
      <c r="C41">
        <v>0</v>
      </c>
      <c r="D41">
        <v>0</v>
      </c>
      <c r="E41">
        <v>0</v>
      </c>
      <c r="F41">
        <v>0</v>
      </c>
      <c r="G41" s="13" t="s">
        <v>11</v>
      </c>
      <c r="I41">
        <v>0</v>
      </c>
      <c r="J41">
        <v>0</v>
      </c>
      <c r="K41">
        <v>0</v>
      </c>
      <c r="L41">
        <v>1</v>
      </c>
      <c r="M41" s="13" t="s">
        <v>11</v>
      </c>
    </row>
    <row r="42" spans="1:13" ht="14.4">
      <c r="A42" s="14">
        <v>53</v>
      </c>
      <c r="B42" s="13" t="s">
        <v>66</v>
      </c>
      <c r="C42">
        <v>0</v>
      </c>
      <c r="D42">
        <v>0</v>
      </c>
      <c r="E42">
        <v>0</v>
      </c>
      <c r="F42">
        <v>0</v>
      </c>
      <c r="G42" s="13" t="s">
        <v>11</v>
      </c>
      <c r="I42">
        <v>1</v>
      </c>
      <c r="J42">
        <v>0</v>
      </c>
      <c r="K42">
        <v>0</v>
      </c>
      <c r="L42">
        <v>1</v>
      </c>
      <c r="M42" s="13" t="s">
        <v>11</v>
      </c>
    </row>
    <row r="43" spans="1:13" ht="14.4">
      <c r="A43" s="14">
        <v>55</v>
      </c>
      <c r="B43" s="13" t="s">
        <v>68</v>
      </c>
      <c r="C43">
        <v>0</v>
      </c>
      <c r="D43">
        <v>0</v>
      </c>
      <c r="E43">
        <v>0</v>
      </c>
      <c r="F43">
        <v>0</v>
      </c>
      <c r="G43" s="13" t="s">
        <v>11</v>
      </c>
      <c r="I43">
        <v>0</v>
      </c>
      <c r="J43">
        <v>0</v>
      </c>
      <c r="K43">
        <v>0</v>
      </c>
      <c r="L43">
        <v>1</v>
      </c>
      <c r="M43" s="13" t="s">
        <v>11</v>
      </c>
    </row>
    <row r="44" spans="1:13" ht="14.4">
      <c r="A44" s="14">
        <v>56</v>
      </c>
      <c r="B44" s="13" t="s">
        <v>69</v>
      </c>
      <c r="C44">
        <v>0</v>
      </c>
      <c r="D44">
        <v>0</v>
      </c>
      <c r="E44">
        <v>0</v>
      </c>
      <c r="F44">
        <v>0</v>
      </c>
      <c r="G44" s="13" t="s">
        <v>11</v>
      </c>
      <c r="I44">
        <v>0</v>
      </c>
      <c r="J44">
        <v>0</v>
      </c>
      <c r="K44">
        <v>0</v>
      </c>
      <c r="L44">
        <v>0</v>
      </c>
      <c r="M44" s="13" t="s">
        <v>11</v>
      </c>
    </row>
    <row r="45" spans="1:13" ht="14.4">
      <c r="A45" s="14">
        <v>57</v>
      </c>
      <c r="B45" s="13" t="s">
        <v>70</v>
      </c>
      <c r="C45">
        <v>0</v>
      </c>
      <c r="D45">
        <v>0</v>
      </c>
      <c r="E45">
        <v>0</v>
      </c>
      <c r="F45">
        <v>1</v>
      </c>
      <c r="G45" s="13" t="s">
        <v>11</v>
      </c>
      <c r="I45">
        <v>0</v>
      </c>
      <c r="J45">
        <v>0</v>
      </c>
      <c r="K45">
        <v>0</v>
      </c>
      <c r="L45">
        <v>1</v>
      </c>
      <c r="M45" s="13" t="s">
        <v>11</v>
      </c>
    </row>
    <row r="46" spans="1:13" ht="14.4">
      <c r="A46" s="14">
        <v>58</v>
      </c>
      <c r="B46" s="13" t="s">
        <v>71</v>
      </c>
      <c r="C46">
        <v>0</v>
      </c>
      <c r="D46">
        <v>0</v>
      </c>
      <c r="E46">
        <v>0</v>
      </c>
      <c r="F46">
        <v>1</v>
      </c>
      <c r="G46" s="13" t="s">
        <v>11</v>
      </c>
      <c r="I46">
        <v>0</v>
      </c>
      <c r="J46">
        <v>0</v>
      </c>
      <c r="K46">
        <v>0</v>
      </c>
      <c r="L46">
        <v>1</v>
      </c>
      <c r="M46" s="13" t="s">
        <v>11</v>
      </c>
    </row>
    <row r="47" spans="1:13" ht="14.4">
      <c r="A47" s="14">
        <v>59</v>
      </c>
      <c r="B47" s="13" t="s">
        <v>72</v>
      </c>
      <c r="C47">
        <v>0</v>
      </c>
      <c r="D47">
        <v>0</v>
      </c>
      <c r="E47">
        <v>1</v>
      </c>
      <c r="F47">
        <v>0</v>
      </c>
      <c r="G47" s="13" t="s">
        <v>11</v>
      </c>
      <c r="I47">
        <v>0</v>
      </c>
      <c r="J47">
        <v>0</v>
      </c>
      <c r="K47">
        <v>0</v>
      </c>
      <c r="L47">
        <v>1</v>
      </c>
      <c r="M47" s="13" t="s">
        <v>11</v>
      </c>
    </row>
    <row r="48" spans="1:13" ht="14.4">
      <c r="A48" s="14">
        <v>60</v>
      </c>
      <c r="B48" s="13" t="s">
        <v>73</v>
      </c>
      <c r="C48">
        <v>0</v>
      </c>
      <c r="D48">
        <v>0</v>
      </c>
      <c r="E48">
        <v>0</v>
      </c>
      <c r="F48">
        <v>0</v>
      </c>
      <c r="G48" s="13" t="s">
        <v>11</v>
      </c>
      <c r="I48">
        <v>0</v>
      </c>
      <c r="J48">
        <v>0</v>
      </c>
      <c r="K48">
        <v>1</v>
      </c>
      <c r="L48">
        <v>1</v>
      </c>
      <c r="M48" s="13" t="s">
        <v>11</v>
      </c>
    </row>
    <row r="49" spans="1:13" ht="14.4">
      <c r="A49" s="14">
        <v>64</v>
      </c>
      <c r="B49" s="13" t="s">
        <v>77</v>
      </c>
      <c r="C49">
        <v>0</v>
      </c>
      <c r="D49">
        <v>0</v>
      </c>
      <c r="E49">
        <v>1</v>
      </c>
      <c r="F49">
        <v>0</v>
      </c>
      <c r="G49" s="13" t="s">
        <v>11</v>
      </c>
      <c r="I49">
        <v>0</v>
      </c>
      <c r="J49">
        <v>0</v>
      </c>
      <c r="K49">
        <v>1</v>
      </c>
      <c r="L49">
        <v>0</v>
      </c>
      <c r="M49" s="13" t="s">
        <v>11</v>
      </c>
    </row>
    <row r="50" spans="1:13" ht="14.4">
      <c r="A50" s="14">
        <v>65</v>
      </c>
      <c r="B50" s="13" t="s">
        <v>78</v>
      </c>
      <c r="C50">
        <v>0</v>
      </c>
      <c r="D50">
        <v>0</v>
      </c>
      <c r="E50">
        <v>0</v>
      </c>
      <c r="F50">
        <v>0</v>
      </c>
      <c r="G50" s="13" t="s">
        <v>11</v>
      </c>
      <c r="I50">
        <v>0</v>
      </c>
      <c r="J50">
        <v>0</v>
      </c>
      <c r="K50">
        <v>0</v>
      </c>
      <c r="L50">
        <v>1</v>
      </c>
      <c r="M50" s="13" t="s">
        <v>11</v>
      </c>
    </row>
    <row r="51" spans="1:13" ht="14.4">
      <c r="A51" s="14">
        <v>66</v>
      </c>
      <c r="B51" s="13" t="s">
        <v>79</v>
      </c>
      <c r="C51">
        <v>0</v>
      </c>
      <c r="D51">
        <v>0</v>
      </c>
      <c r="E51">
        <v>0</v>
      </c>
      <c r="F51">
        <v>0</v>
      </c>
      <c r="G51" s="13" t="s">
        <v>11</v>
      </c>
      <c r="I51">
        <v>0</v>
      </c>
      <c r="J51">
        <v>0</v>
      </c>
      <c r="K51">
        <v>0</v>
      </c>
      <c r="L51">
        <v>1</v>
      </c>
      <c r="M51" s="13" t="s">
        <v>11</v>
      </c>
    </row>
    <row r="52" spans="1:13" ht="14.4">
      <c r="A52" s="14">
        <v>67</v>
      </c>
      <c r="B52" s="13" t="s">
        <v>80</v>
      </c>
      <c r="C52">
        <v>0</v>
      </c>
      <c r="D52">
        <v>0</v>
      </c>
      <c r="E52">
        <v>0</v>
      </c>
      <c r="F52">
        <v>0</v>
      </c>
      <c r="G52" s="13" t="s">
        <v>11</v>
      </c>
      <c r="I52">
        <v>0</v>
      </c>
      <c r="J52">
        <v>0</v>
      </c>
      <c r="K52">
        <v>1</v>
      </c>
      <c r="L52">
        <v>1</v>
      </c>
      <c r="M52" s="13" t="s">
        <v>11</v>
      </c>
    </row>
    <row r="53" spans="1:13" ht="14.4">
      <c r="A53" s="14">
        <v>69</v>
      </c>
      <c r="B53" s="13" t="s">
        <v>82</v>
      </c>
      <c r="C53">
        <v>0</v>
      </c>
      <c r="D53">
        <v>0</v>
      </c>
      <c r="E53">
        <v>0</v>
      </c>
      <c r="F53">
        <v>0</v>
      </c>
      <c r="G53" s="13" t="s">
        <v>11</v>
      </c>
      <c r="I53">
        <v>0</v>
      </c>
      <c r="J53">
        <v>0</v>
      </c>
      <c r="K53">
        <v>0</v>
      </c>
      <c r="L53">
        <v>0</v>
      </c>
      <c r="M53" s="13" t="s">
        <v>11</v>
      </c>
    </row>
    <row r="54" spans="1:13" ht="14.4">
      <c r="A54" s="14">
        <v>70</v>
      </c>
      <c r="B54" s="13" t="s">
        <v>83</v>
      </c>
      <c r="C54">
        <v>0</v>
      </c>
      <c r="D54">
        <v>0</v>
      </c>
      <c r="E54">
        <v>0</v>
      </c>
      <c r="F54">
        <v>0</v>
      </c>
      <c r="G54" s="13" t="s">
        <v>11</v>
      </c>
      <c r="I54">
        <v>0</v>
      </c>
      <c r="J54">
        <v>1</v>
      </c>
      <c r="K54">
        <v>0</v>
      </c>
      <c r="L54">
        <v>1</v>
      </c>
      <c r="M54" s="13" t="s">
        <v>11</v>
      </c>
    </row>
    <row r="55" spans="1:13" ht="14.4">
      <c r="A55" s="14">
        <v>71</v>
      </c>
      <c r="B55" s="13" t="s">
        <v>84</v>
      </c>
      <c r="C55">
        <v>0</v>
      </c>
      <c r="D55">
        <v>0</v>
      </c>
      <c r="E55">
        <v>1</v>
      </c>
      <c r="F55">
        <v>0</v>
      </c>
      <c r="G55" s="13" t="s">
        <v>11</v>
      </c>
      <c r="I55">
        <v>0</v>
      </c>
      <c r="J55">
        <v>1</v>
      </c>
      <c r="K55">
        <v>1</v>
      </c>
      <c r="L55">
        <v>1</v>
      </c>
      <c r="M55" s="13" t="s">
        <v>11</v>
      </c>
    </row>
    <row r="56" spans="1:13" ht="14.4">
      <c r="A56" s="14">
        <v>72</v>
      </c>
      <c r="B56" s="13" t="s">
        <v>85</v>
      </c>
      <c r="C56">
        <v>0</v>
      </c>
      <c r="D56">
        <v>0</v>
      </c>
      <c r="E56">
        <v>0</v>
      </c>
      <c r="F56">
        <v>1</v>
      </c>
      <c r="G56" s="13" t="s">
        <v>11</v>
      </c>
      <c r="I56">
        <v>0</v>
      </c>
      <c r="J56">
        <v>0</v>
      </c>
      <c r="K56">
        <v>1</v>
      </c>
      <c r="L56">
        <v>1</v>
      </c>
      <c r="M56" s="13" t="s">
        <v>11</v>
      </c>
    </row>
    <row r="57" spans="1:13" ht="14.4">
      <c r="A57" s="14">
        <v>73</v>
      </c>
      <c r="B57" s="13" t="s">
        <v>86</v>
      </c>
      <c r="C57">
        <v>0</v>
      </c>
      <c r="D57">
        <v>0</v>
      </c>
      <c r="E57">
        <v>0</v>
      </c>
      <c r="F57">
        <v>0</v>
      </c>
      <c r="G57" s="13" t="s">
        <v>11</v>
      </c>
      <c r="I57">
        <v>0</v>
      </c>
      <c r="J57">
        <v>0</v>
      </c>
      <c r="K57">
        <v>0</v>
      </c>
      <c r="L57">
        <v>1</v>
      </c>
      <c r="M57" s="13" t="s">
        <v>11</v>
      </c>
    </row>
    <row r="58" spans="1:13" ht="14.4">
      <c r="A58" s="14">
        <v>76</v>
      </c>
      <c r="B58" s="13" t="s">
        <v>89</v>
      </c>
      <c r="C58">
        <v>0</v>
      </c>
      <c r="D58">
        <v>0</v>
      </c>
      <c r="E58">
        <v>1</v>
      </c>
      <c r="F58">
        <v>0</v>
      </c>
      <c r="G58" s="13" t="s">
        <v>11</v>
      </c>
      <c r="I58">
        <v>0</v>
      </c>
      <c r="J58">
        <v>1</v>
      </c>
      <c r="K58">
        <v>1</v>
      </c>
      <c r="L58">
        <v>1</v>
      </c>
      <c r="M58" s="13" t="s">
        <v>11</v>
      </c>
    </row>
    <row r="59" spans="1:13" ht="14.4">
      <c r="A59" s="14">
        <v>77</v>
      </c>
      <c r="B59" s="13" t="s">
        <v>90</v>
      </c>
      <c r="C59">
        <v>0</v>
      </c>
      <c r="D59">
        <v>0</v>
      </c>
      <c r="E59">
        <v>1</v>
      </c>
      <c r="F59">
        <v>0</v>
      </c>
      <c r="G59" s="13" t="s">
        <v>11</v>
      </c>
      <c r="I59">
        <v>0</v>
      </c>
      <c r="J59">
        <v>0</v>
      </c>
      <c r="K59">
        <v>1</v>
      </c>
      <c r="L59">
        <v>1</v>
      </c>
      <c r="M59" s="13" t="s">
        <v>11</v>
      </c>
    </row>
    <row r="60" spans="1:13" ht="14.4">
      <c r="A60" s="14">
        <v>80</v>
      </c>
      <c r="B60" s="13" t="s">
        <v>93</v>
      </c>
      <c r="C60">
        <v>0</v>
      </c>
      <c r="D60">
        <v>0</v>
      </c>
      <c r="E60">
        <v>0</v>
      </c>
      <c r="F60">
        <v>0</v>
      </c>
      <c r="G60" s="13" t="s">
        <v>11</v>
      </c>
      <c r="I60">
        <v>0</v>
      </c>
      <c r="J60">
        <v>0</v>
      </c>
      <c r="K60">
        <v>0</v>
      </c>
      <c r="L60">
        <v>1</v>
      </c>
      <c r="M60" s="13" t="s">
        <v>11</v>
      </c>
    </row>
    <row r="61" spans="1:13" ht="14.4">
      <c r="A61" s="14">
        <v>84</v>
      </c>
      <c r="B61" s="13" t="s">
        <v>97</v>
      </c>
      <c r="C61">
        <v>0</v>
      </c>
      <c r="D61">
        <v>0</v>
      </c>
      <c r="E61">
        <v>0</v>
      </c>
      <c r="F61">
        <v>0</v>
      </c>
      <c r="G61" s="13" t="s">
        <v>11</v>
      </c>
      <c r="I61">
        <v>0</v>
      </c>
      <c r="J61">
        <v>0</v>
      </c>
      <c r="K61">
        <v>1</v>
      </c>
      <c r="L61">
        <v>1</v>
      </c>
      <c r="M61" s="13" t="s">
        <v>11</v>
      </c>
    </row>
    <row r="62" spans="1:13" ht="14.4">
      <c r="A62" s="14">
        <v>87</v>
      </c>
      <c r="B62" s="13" t="s">
        <v>100</v>
      </c>
      <c r="C62">
        <v>0</v>
      </c>
      <c r="D62">
        <v>0</v>
      </c>
      <c r="E62">
        <v>0</v>
      </c>
      <c r="F62">
        <v>0</v>
      </c>
      <c r="G62" s="13" t="s">
        <v>11</v>
      </c>
      <c r="I62">
        <v>0</v>
      </c>
      <c r="J62">
        <v>0</v>
      </c>
      <c r="K62">
        <v>0</v>
      </c>
      <c r="L62">
        <v>0</v>
      </c>
      <c r="M62" s="13" t="s">
        <v>11</v>
      </c>
    </row>
    <row r="63" spans="1:13" ht="14.4">
      <c r="A63" s="14">
        <v>93</v>
      </c>
      <c r="B63" s="13" t="s">
        <v>106</v>
      </c>
      <c r="C63">
        <v>0</v>
      </c>
      <c r="D63">
        <v>0</v>
      </c>
      <c r="E63">
        <v>0</v>
      </c>
      <c r="F63">
        <v>0</v>
      </c>
      <c r="G63" s="13" t="s">
        <v>11</v>
      </c>
      <c r="I63">
        <v>0</v>
      </c>
      <c r="J63">
        <v>0</v>
      </c>
      <c r="K63">
        <v>0</v>
      </c>
      <c r="L63">
        <v>0</v>
      </c>
      <c r="M63" s="13" t="s">
        <v>11</v>
      </c>
    </row>
    <row r="64" spans="1:13" ht="14.4">
      <c r="A64" s="14">
        <v>94</v>
      </c>
      <c r="B64" s="13" t="s">
        <v>107</v>
      </c>
      <c r="C64">
        <v>0</v>
      </c>
      <c r="D64">
        <v>0</v>
      </c>
      <c r="E64">
        <v>0</v>
      </c>
      <c r="F64">
        <v>0</v>
      </c>
      <c r="G64" s="13" t="s">
        <v>11</v>
      </c>
      <c r="I64">
        <v>0</v>
      </c>
      <c r="J64">
        <v>0</v>
      </c>
      <c r="K64">
        <v>0</v>
      </c>
      <c r="L64">
        <v>0</v>
      </c>
      <c r="M64" s="13" t="s">
        <v>11</v>
      </c>
    </row>
    <row r="65" spans="1:13" ht="14.4">
      <c r="A65" s="14">
        <v>95</v>
      </c>
      <c r="B65" s="13" t="s">
        <v>108</v>
      </c>
      <c r="C65">
        <v>0</v>
      </c>
      <c r="D65">
        <v>0</v>
      </c>
      <c r="E65">
        <v>0</v>
      </c>
      <c r="F65">
        <v>1</v>
      </c>
      <c r="G65" s="13" t="s">
        <v>11</v>
      </c>
      <c r="I65">
        <v>0</v>
      </c>
      <c r="J65">
        <v>0</v>
      </c>
      <c r="K65">
        <v>1</v>
      </c>
      <c r="L65">
        <v>0</v>
      </c>
      <c r="M65" s="13" t="s">
        <v>11</v>
      </c>
    </row>
    <row r="66" spans="1:13" ht="14.4">
      <c r="A66" s="14">
        <v>98</v>
      </c>
      <c r="B66" s="13" t="s">
        <v>111</v>
      </c>
      <c r="C66">
        <v>0</v>
      </c>
      <c r="D66">
        <v>0</v>
      </c>
      <c r="E66">
        <v>1</v>
      </c>
      <c r="F66">
        <v>0</v>
      </c>
      <c r="G66" s="13" t="s">
        <v>11</v>
      </c>
      <c r="I66">
        <v>0</v>
      </c>
      <c r="J66">
        <v>0</v>
      </c>
      <c r="K66">
        <v>1</v>
      </c>
      <c r="L66">
        <v>0</v>
      </c>
      <c r="M66" s="13" t="s">
        <v>11</v>
      </c>
    </row>
    <row r="67" spans="1:13" ht="14.4">
      <c r="A67" s="14">
        <v>99</v>
      </c>
      <c r="B67" s="13" t="s">
        <v>112</v>
      </c>
      <c r="C67">
        <v>0</v>
      </c>
      <c r="D67">
        <v>0</v>
      </c>
      <c r="E67">
        <v>0</v>
      </c>
      <c r="F67">
        <v>0</v>
      </c>
      <c r="G67" s="13" t="s">
        <v>11</v>
      </c>
      <c r="I67">
        <v>0</v>
      </c>
      <c r="J67">
        <v>0</v>
      </c>
      <c r="K67">
        <v>0</v>
      </c>
      <c r="L67">
        <v>0</v>
      </c>
      <c r="M67" s="13" t="s">
        <v>11</v>
      </c>
    </row>
    <row r="68" spans="1:13" ht="14.4">
      <c r="A68" s="14">
        <v>100</v>
      </c>
      <c r="B68" s="13" t="s">
        <v>113</v>
      </c>
      <c r="C68">
        <v>0</v>
      </c>
      <c r="D68">
        <v>0</v>
      </c>
      <c r="E68">
        <v>0</v>
      </c>
      <c r="F68">
        <v>1</v>
      </c>
      <c r="G68" s="13" t="s">
        <v>11</v>
      </c>
      <c r="I68">
        <v>0</v>
      </c>
      <c r="J68">
        <v>0</v>
      </c>
      <c r="K68">
        <v>0</v>
      </c>
      <c r="L68">
        <v>1</v>
      </c>
      <c r="M68" s="13" t="s">
        <v>11</v>
      </c>
    </row>
    <row r="69" spans="1:13" ht="14.4">
      <c r="A69" s="14">
        <v>101</v>
      </c>
      <c r="B69" s="13" t="s">
        <v>182</v>
      </c>
      <c r="C69">
        <v>0</v>
      </c>
      <c r="D69">
        <v>0</v>
      </c>
      <c r="E69">
        <v>0</v>
      </c>
      <c r="F69">
        <v>0</v>
      </c>
      <c r="G69" s="13" t="s">
        <v>11</v>
      </c>
      <c r="I69">
        <v>0</v>
      </c>
      <c r="J69">
        <v>0</v>
      </c>
      <c r="K69">
        <v>0</v>
      </c>
      <c r="L69">
        <v>0</v>
      </c>
      <c r="M69" s="13" t="s">
        <v>11</v>
      </c>
    </row>
    <row r="70" spans="1:13" ht="14.4">
      <c r="A70" s="14">
        <v>102</v>
      </c>
      <c r="B70" s="13" t="s">
        <v>183</v>
      </c>
      <c r="C70">
        <v>0</v>
      </c>
      <c r="D70">
        <v>0</v>
      </c>
      <c r="E70">
        <v>0</v>
      </c>
      <c r="F70">
        <v>0</v>
      </c>
      <c r="G70" s="13" t="s">
        <v>185</v>
      </c>
      <c r="I70">
        <v>1</v>
      </c>
      <c r="J70">
        <v>0</v>
      </c>
      <c r="K70">
        <v>1</v>
      </c>
      <c r="L70">
        <v>1</v>
      </c>
      <c r="M70" s="13" t="s">
        <v>185</v>
      </c>
    </row>
    <row r="71" spans="1:13" ht="14.4">
      <c r="A71" s="14">
        <v>103</v>
      </c>
      <c r="B71" s="13" t="s">
        <v>186</v>
      </c>
      <c r="C71">
        <v>0</v>
      </c>
      <c r="D71">
        <v>0</v>
      </c>
      <c r="E71">
        <v>0</v>
      </c>
      <c r="F71">
        <v>0</v>
      </c>
      <c r="G71" s="13" t="s">
        <v>185</v>
      </c>
      <c r="I71">
        <v>1</v>
      </c>
      <c r="J71">
        <v>0</v>
      </c>
      <c r="K71">
        <v>0</v>
      </c>
      <c r="L71">
        <v>0</v>
      </c>
      <c r="M71" s="13" t="s">
        <v>185</v>
      </c>
    </row>
    <row r="72" spans="1:13" ht="14.4">
      <c r="A72" s="14">
        <v>104</v>
      </c>
      <c r="B72" s="13" t="s">
        <v>188</v>
      </c>
      <c r="C72">
        <v>0</v>
      </c>
      <c r="D72">
        <v>0</v>
      </c>
      <c r="E72">
        <v>0</v>
      </c>
      <c r="F72">
        <v>0</v>
      </c>
      <c r="G72" s="13" t="s">
        <v>185</v>
      </c>
      <c r="I72">
        <v>1</v>
      </c>
      <c r="J72">
        <v>0</v>
      </c>
      <c r="K72">
        <v>0</v>
      </c>
      <c r="L72">
        <v>1</v>
      </c>
      <c r="M72" s="13" t="s">
        <v>185</v>
      </c>
    </row>
    <row r="73" spans="1:13" ht="14.4">
      <c r="A73" s="14">
        <v>106</v>
      </c>
      <c r="B73" s="13" t="s">
        <v>191</v>
      </c>
      <c r="C73">
        <v>1</v>
      </c>
      <c r="D73">
        <v>0</v>
      </c>
      <c r="E73">
        <v>0</v>
      </c>
      <c r="F73">
        <v>0</v>
      </c>
      <c r="G73" s="13" t="s">
        <v>185</v>
      </c>
      <c r="I73">
        <v>1</v>
      </c>
      <c r="J73">
        <v>0</v>
      </c>
      <c r="K73">
        <v>0</v>
      </c>
      <c r="L73">
        <v>1</v>
      </c>
      <c r="M73" s="13" t="s">
        <v>185</v>
      </c>
    </row>
    <row r="74" spans="1:13" ht="14.4">
      <c r="A74" s="14">
        <v>107</v>
      </c>
      <c r="B74" s="13" t="s">
        <v>193</v>
      </c>
      <c r="C74">
        <v>0</v>
      </c>
      <c r="D74">
        <v>0</v>
      </c>
      <c r="E74">
        <v>0</v>
      </c>
      <c r="F74">
        <v>0</v>
      </c>
      <c r="G74" s="13" t="s">
        <v>185</v>
      </c>
      <c r="I74">
        <v>1</v>
      </c>
      <c r="J74">
        <v>0</v>
      </c>
      <c r="K74">
        <v>0</v>
      </c>
      <c r="L74">
        <v>1</v>
      </c>
      <c r="M74" s="13" t="s">
        <v>185</v>
      </c>
    </row>
    <row r="75" spans="1:13" ht="14.4">
      <c r="A75" s="14">
        <v>109</v>
      </c>
      <c r="B75" s="13" t="s">
        <v>196</v>
      </c>
      <c r="C75">
        <v>0</v>
      </c>
      <c r="D75">
        <v>0</v>
      </c>
      <c r="E75">
        <v>0</v>
      </c>
      <c r="F75">
        <v>0</v>
      </c>
      <c r="G75" s="13" t="s">
        <v>185</v>
      </c>
      <c r="I75">
        <v>1</v>
      </c>
      <c r="J75">
        <v>0</v>
      </c>
      <c r="K75">
        <v>0</v>
      </c>
      <c r="L75">
        <v>1</v>
      </c>
      <c r="M75" s="13" t="s">
        <v>185</v>
      </c>
    </row>
    <row r="76" spans="1:13" ht="14.4">
      <c r="A76" s="14">
        <v>110</v>
      </c>
      <c r="B76" s="13" t="s">
        <v>197</v>
      </c>
      <c r="C76">
        <v>0</v>
      </c>
      <c r="D76">
        <v>0</v>
      </c>
      <c r="E76">
        <v>0</v>
      </c>
      <c r="F76">
        <v>0</v>
      </c>
      <c r="G76" s="13" t="s">
        <v>185</v>
      </c>
      <c r="I76">
        <v>1</v>
      </c>
      <c r="J76">
        <v>0</v>
      </c>
      <c r="K76">
        <v>1</v>
      </c>
      <c r="L76">
        <v>1</v>
      </c>
      <c r="M76" s="13" t="s">
        <v>185</v>
      </c>
    </row>
    <row r="77" spans="1:13" ht="14.4">
      <c r="A77" s="14">
        <v>113</v>
      </c>
      <c r="B77" s="13" t="s">
        <v>201</v>
      </c>
      <c r="C77">
        <v>0</v>
      </c>
      <c r="D77">
        <v>0</v>
      </c>
      <c r="E77">
        <v>0</v>
      </c>
      <c r="F77">
        <v>0</v>
      </c>
      <c r="G77" s="13" t="s">
        <v>185</v>
      </c>
      <c r="I77">
        <v>1</v>
      </c>
      <c r="J77">
        <v>0</v>
      </c>
      <c r="K77">
        <v>0</v>
      </c>
      <c r="L77">
        <v>1</v>
      </c>
      <c r="M77" s="13" t="s">
        <v>185</v>
      </c>
    </row>
    <row r="78" spans="1:13" ht="14.4">
      <c r="A78" s="14">
        <v>116</v>
      </c>
      <c r="B78" s="13" t="s">
        <v>205</v>
      </c>
      <c r="C78">
        <v>0</v>
      </c>
      <c r="D78">
        <v>0</v>
      </c>
      <c r="E78">
        <v>0</v>
      </c>
      <c r="F78">
        <v>0</v>
      </c>
      <c r="G78" s="13" t="s">
        <v>185</v>
      </c>
      <c r="I78">
        <v>0</v>
      </c>
      <c r="J78">
        <v>0</v>
      </c>
      <c r="K78">
        <v>0</v>
      </c>
      <c r="L78">
        <v>1</v>
      </c>
      <c r="M78" s="13" t="s">
        <v>185</v>
      </c>
    </row>
    <row r="79" spans="1:13" ht="14.4">
      <c r="A79" s="14">
        <v>117</v>
      </c>
      <c r="B79" s="13" t="s">
        <v>206</v>
      </c>
      <c r="C79">
        <v>0</v>
      </c>
      <c r="D79">
        <v>0</v>
      </c>
      <c r="E79">
        <v>0</v>
      </c>
      <c r="F79">
        <v>0</v>
      </c>
      <c r="G79" s="13" t="s">
        <v>185</v>
      </c>
      <c r="I79">
        <v>1</v>
      </c>
      <c r="J79">
        <v>0</v>
      </c>
      <c r="K79">
        <v>0</v>
      </c>
      <c r="L79">
        <v>0</v>
      </c>
      <c r="M79" s="13" t="s">
        <v>185</v>
      </c>
    </row>
    <row r="80" spans="1:13" ht="14.4">
      <c r="A80" s="14">
        <v>119</v>
      </c>
      <c r="B80" s="13" t="s">
        <v>208</v>
      </c>
      <c r="C80">
        <v>0</v>
      </c>
      <c r="D80">
        <v>0</v>
      </c>
      <c r="E80">
        <v>0</v>
      </c>
      <c r="F80">
        <v>0</v>
      </c>
      <c r="G80" s="13" t="s">
        <v>185</v>
      </c>
      <c r="I80">
        <v>1</v>
      </c>
      <c r="J80">
        <v>0</v>
      </c>
      <c r="K80">
        <v>0</v>
      </c>
      <c r="L80">
        <v>1</v>
      </c>
      <c r="M80" s="13" t="s">
        <v>185</v>
      </c>
    </row>
    <row r="81" spans="1:13" ht="14.4">
      <c r="A81" s="14">
        <v>120</v>
      </c>
      <c r="B81" s="13" t="s">
        <v>209</v>
      </c>
      <c r="C81">
        <v>0</v>
      </c>
      <c r="D81">
        <v>0</v>
      </c>
      <c r="E81">
        <v>0</v>
      </c>
      <c r="F81">
        <v>0</v>
      </c>
      <c r="G81" s="13" t="s">
        <v>185</v>
      </c>
      <c r="I81">
        <v>1</v>
      </c>
      <c r="J81">
        <v>0</v>
      </c>
      <c r="K81">
        <v>0</v>
      </c>
      <c r="L81">
        <v>0</v>
      </c>
      <c r="M81" s="13" t="s">
        <v>185</v>
      </c>
    </row>
    <row r="82" spans="1:13" ht="14.4">
      <c r="A82" s="14">
        <v>122</v>
      </c>
      <c r="B82" s="13" t="s">
        <v>211</v>
      </c>
      <c r="C82">
        <v>0</v>
      </c>
      <c r="D82">
        <v>0</v>
      </c>
      <c r="E82">
        <v>0</v>
      </c>
      <c r="F82">
        <v>0</v>
      </c>
      <c r="G82" s="13" t="s">
        <v>185</v>
      </c>
      <c r="I82">
        <v>1</v>
      </c>
      <c r="J82">
        <v>0</v>
      </c>
      <c r="K82">
        <v>0</v>
      </c>
      <c r="L82">
        <v>1</v>
      </c>
      <c r="M82" s="13" t="s">
        <v>185</v>
      </c>
    </row>
    <row r="83" spans="1:13" ht="14.4">
      <c r="A83" s="14">
        <v>123</v>
      </c>
      <c r="B83" s="13" t="s">
        <v>212</v>
      </c>
      <c r="C83">
        <v>0</v>
      </c>
      <c r="D83">
        <v>0</v>
      </c>
      <c r="E83">
        <v>0</v>
      </c>
      <c r="F83">
        <v>0</v>
      </c>
      <c r="G83" s="13" t="s">
        <v>185</v>
      </c>
      <c r="I83">
        <v>1</v>
      </c>
      <c r="J83">
        <v>0</v>
      </c>
      <c r="K83">
        <v>1</v>
      </c>
      <c r="L83">
        <v>1</v>
      </c>
      <c r="M83" s="13" t="s">
        <v>185</v>
      </c>
    </row>
    <row r="84" spans="1:13" ht="14.4">
      <c r="A84" s="14">
        <v>125</v>
      </c>
      <c r="B84" s="13" t="s">
        <v>214</v>
      </c>
      <c r="C84">
        <v>0</v>
      </c>
      <c r="D84">
        <v>0</v>
      </c>
      <c r="E84">
        <v>0</v>
      </c>
      <c r="F84">
        <v>0</v>
      </c>
      <c r="G84" s="13" t="s">
        <v>185</v>
      </c>
      <c r="I84">
        <v>0</v>
      </c>
      <c r="J84">
        <v>0</v>
      </c>
      <c r="K84">
        <v>0</v>
      </c>
      <c r="L84">
        <v>1</v>
      </c>
      <c r="M84" s="13" t="s">
        <v>185</v>
      </c>
    </row>
    <row r="85" spans="1:13" ht="14.4">
      <c r="A85" s="14">
        <v>126</v>
      </c>
      <c r="B85" s="13" t="s">
        <v>215</v>
      </c>
      <c r="C85">
        <v>0</v>
      </c>
      <c r="D85">
        <v>0</v>
      </c>
      <c r="E85">
        <v>0</v>
      </c>
      <c r="F85">
        <v>0</v>
      </c>
      <c r="G85" s="13" t="s">
        <v>185</v>
      </c>
      <c r="I85">
        <v>1</v>
      </c>
      <c r="J85">
        <v>0</v>
      </c>
      <c r="K85">
        <v>0</v>
      </c>
      <c r="L85">
        <v>1</v>
      </c>
      <c r="M85" s="13" t="s">
        <v>185</v>
      </c>
    </row>
    <row r="86" spans="1:13" ht="14.4">
      <c r="A86" s="14">
        <v>128</v>
      </c>
      <c r="B86" s="13" t="s">
        <v>217</v>
      </c>
      <c r="C86">
        <v>0</v>
      </c>
      <c r="D86">
        <v>0</v>
      </c>
      <c r="E86">
        <v>0</v>
      </c>
      <c r="F86">
        <v>0</v>
      </c>
      <c r="G86" s="13" t="s">
        <v>185</v>
      </c>
      <c r="I86">
        <v>1</v>
      </c>
      <c r="J86">
        <v>0</v>
      </c>
      <c r="K86">
        <v>0</v>
      </c>
      <c r="L86">
        <v>1</v>
      </c>
      <c r="M86" s="13" t="s">
        <v>185</v>
      </c>
    </row>
    <row r="87" spans="1:13" ht="14.4">
      <c r="A87" s="14">
        <v>129</v>
      </c>
      <c r="B87" s="13" t="s">
        <v>218</v>
      </c>
      <c r="C87">
        <v>0</v>
      </c>
      <c r="D87">
        <v>0</v>
      </c>
      <c r="E87">
        <v>0</v>
      </c>
      <c r="F87">
        <v>0</v>
      </c>
      <c r="G87" s="13" t="s">
        <v>185</v>
      </c>
      <c r="I87">
        <v>1</v>
      </c>
      <c r="J87">
        <v>0</v>
      </c>
      <c r="K87">
        <v>0</v>
      </c>
      <c r="L87">
        <v>1</v>
      </c>
      <c r="M87" s="13" t="s">
        <v>185</v>
      </c>
    </row>
    <row r="88" spans="1:13" ht="14.4">
      <c r="A88" s="14">
        <v>130</v>
      </c>
      <c r="B88" s="13" t="s">
        <v>219</v>
      </c>
      <c r="C88">
        <v>0</v>
      </c>
      <c r="D88">
        <v>0</v>
      </c>
      <c r="E88">
        <v>0</v>
      </c>
      <c r="F88">
        <v>0</v>
      </c>
      <c r="G88" s="13" t="s">
        <v>185</v>
      </c>
      <c r="I88">
        <v>1</v>
      </c>
      <c r="J88">
        <v>0</v>
      </c>
      <c r="K88">
        <v>0</v>
      </c>
      <c r="L88">
        <v>0</v>
      </c>
      <c r="M88" s="13" t="s">
        <v>185</v>
      </c>
    </row>
    <row r="89" spans="1:13" ht="14.4">
      <c r="A89" s="14">
        <v>131</v>
      </c>
      <c r="B89" s="13" t="s">
        <v>220</v>
      </c>
      <c r="C89">
        <v>0</v>
      </c>
      <c r="D89">
        <v>0</v>
      </c>
      <c r="E89">
        <v>0</v>
      </c>
      <c r="F89">
        <v>0</v>
      </c>
      <c r="G89" s="13" t="s">
        <v>185</v>
      </c>
      <c r="I89">
        <v>1</v>
      </c>
      <c r="J89">
        <v>0</v>
      </c>
      <c r="K89">
        <v>0</v>
      </c>
      <c r="L89">
        <v>0</v>
      </c>
      <c r="M89" s="13" t="s">
        <v>185</v>
      </c>
    </row>
    <row r="90" spans="1:13" ht="14.4">
      <c r="A90" s="14">
        <v>132</v>
      </c>
      <c r="B90" s="13" t="s">
        <v>221</v>
      </c>
      <c r="C90">
        <v>1</v>
      </c>
      <c r="D90">
        <v>0</v>
      </c>
      <c r="E90">
        <v>0</v>
      </c>
      <c r="F90">
        <v>0</v>
      </c>
      <c r="G90" s="13" t="s">
        <v>185</v>
      </c>
      <c r="I90">
        <v>1</v>
      </c>
      <c r="J90">
        <v>0</v>
      </c>
      <c r="K90">
        <v>1</v>
      </c>
      <c r="L90">
        <v>1</v>
      </c>
      <c r="M90" s="13" t="s">
        <v>185</v>
      </c>
    </row>
    <row r="91" spans="1:13" ht="14.4">
      <c r="A91" s="14">
        <v>133</v>
      </c>
      <c r="B91" s="13" t="s">
        <v>223</v>
      </c>
      <c r="C91">
        <v>0</v>
      </c>
      <c r="D91">
        <v>0</v>
      </c>
      <c r="E91">
        <v>0</v>
      </c>
      <c r="F91">
        <v>0</v>
      </c>
      <c r="G91" s="13" t="s">
        <v>185</v>
      </c>
      <c r="I91">
        <v>1</v>
      </c>
      <c r="J91">
        <v>0</v>
      </c>
      <c r="K91">
        <v>0</v>
      </c>
      <c r="L91">
        <v>1</v>
      </c>
      <c r="M91" s="13" t="s">
        <v>185</v>
      </c>
    </row>
    <row r="92" spans="1:13" ht="14.4">
      <c r="A92" s="14">
        <v>135</v>
      </c>
      <c r="B92" s="13" t="s">
        <v>226</v>
      </c>
      <c r="C92">
        <v>0</v>
      </c>
      <c r="D92">
        <v>0</v>
      </c>
      <c r="E92">
        <v>0</v>
      </c>
      <c r="F92">
        <v>0</v>
      </c>
      <c r="G92" s="13" t="s">
        <v>185</v>
      </c>
      <c r="I92">
        <v>0</v>
      </c>
      <c r="J92">
        <v>0</v>
      </c>
      <c r="K92">
        <v>0</v>
      </c>
      <c r="L92">
        <v>0</v>
      </c>
      <c r="M92" s="13" t="s">
        <v>185</v>
      </c>
    </row>
    <row r="93" spans="1:13" ht="14.4">
      <c r="A93" s="14">
        <v>138</v>
      </c>
      <c r="B93" s="13" t="s">
        <v>229</v>
      </c>
      <c r="C93">
        <v>1</v>
      </c>
      <c r="D93">
        <v>0</v>
      </c>
      <c r="E93">
        <v>0</v>
      </c>
      <c r="F93">
        <v>0</v>
      </c>
      <c r="G93" s="13" t="s">
        <v>185</v>
      </c>
      <c r="I93">
        <v>1</v>
      </c>
      <c r="J93">
        <v>0</v>
      </c>
      <c r="K93">
        <v>0</v>
      </c>
      <c r="L93">
        <v>1</v>
      </c>
      <c r="M93" s="13" t="s">
        <v>185</v>
      </c>
    </row>
    <row r="94" spans="1:13" ht="14.4">
      <c r="A94" s="14">
        <v>139</v>
      </c>
      <c r="B94" s="13" t="s">
        <v>230</v>
      </c>
      <c r="C94">
        <v>0</v>
      </c>
      <c r="D94">
        <v>0</v>
      </c>
      <c r="E94">
        <v>0</v>
      </c>
      <c r="F94">
        <v>0</v>
      </c>
      <c r="G94" s="13" t="s">
        <v>185</v>
      </c>
      <c r="I94">
        <v>1</v>
      </c>
      <c r="J94">
        <v>0</v>
      </c>
      <c r="K94">
        <v>0</v>
      </c>
      <c r="L94">
        <v>1</v>
      </c>
      <c r="M94" s="13" t="s">
        <v>185</v>
      </c>
    </row>
    <row r="95" spans="1:13" ht="14.4">
      <c r="A95" s="14">
        <v>140</v>
      </c>
      <c r="B95" s="13" t="s">
        <v>232</v>
      </c>
      <c r="C95">
        <v>0</v>
      </c>
      <c r="D95">
        <v>0</v>
      </c>
      <c r="E95">
        <v>0</v>
      </c>
      <c r="F95">
        <v>0</v>
      </c>
      <c r="G95" s="13" t="s">
        <v>185</v>
      </c>
      <c r="I95">
        <v>1</v>
      </c>
      <c r="J95">
        <v>0</v>
      </c>
      <c r="K95">
        <v>0</v>
      </c>
      <c r="L95">
        <v>1</v>
      </c>
      <c r="M95" s="13" t="s">
        <v>185</v>
      </c>
    </row>
    <row r="96" spans="1:13" ht="14.4">
      <c r="A96" s="14">
        <v>145</v>
      </c>
      <c r="B96" s="13" t="s">
        <v>238</v>
      </c>
      <c r="C96">
        <v>0</v>
      </c>
      <c r="D96">
        <v>0</v>
      </c>
      <c r="E96">
        <v>0</v>
      </c>
      <c r="F96">
        <v>0</v>
      </c>
      <c r="G96" s="13" t="s">
        <v>185</v>
      </c>
      <c r="I96">
        <v>0</v>
      </c>
      <c r="J96">
        <v>0</v>
      </c>
      <c r="K96">
        <v>0</v>
      </c>
      <c r="L96">
        <v>1</v>
      </c>
      <c r="M96" s="13" t="s">
        <v>185</v>
      </c>
    </row>
    <row r="97" spans="1:13" ht="14.4">
      <c r="A97" s="14">
        <v>147</v>
      </c>
      <c r="B97" s="13" t="s">
        <v>240</v>
      </c>
      <c r="C97">
        <v>0</v>
      </c>
      <c r="D97">
        <v>0</v>
      </c>
      <c r="E97">
        <v>0</v>
      </c>
      <c r="F97">
        <v>0</v>
      </c>
      <c r="G97" s="13" t="s">
        <v>185</v>
      </c>
      <c r="I97">
        <v>1</v>
      </c>
      <c r="J97">
        <v>0</v>
      </c>
      <c r="K97">
        <v>0</v>
      </c>
      <c r="L97">
        <v>1</v>
      </c>
      <c r="M97" s="13" t="s">
        <v>185</v>
      </c>
    </row>
    <row r="98" spans="1:13" ht="14.4">
      <c r="A98" s="14">
        <v>150</v>
      </c>
      <c r="B98" s="13" t="s">
        <v>243</v>
      </c>
      <c r="C98">
        <v>0</v>
      </c>
      <c r="D98">
        <v>0</v>
      </c>
      <c r="E98">
        <v>0</v>
      </c>
      <c r="F98">
        <v>0</v>
      </c>
      <c r="G98" s="13" t="s">
        <v>185</v>
      </c>
      <c r="I98">
        <v>1</v>
      </c>
      <c r="J98">
        <v>0</v>
      </c>
      <c r="K98">
        <v>0</v>
      </c>
      <c r="L98">
        <v>1</v>
      </c>
      <c r="M98" s="13" t="s">
        <v>185</v>
      </c>
    </row>
    <row r="99" spans="1:13" ht="14.4">
      <c r="A99" s="14">
        <v>151</v>
      </c>
      <c r="B99" s="13" t="s">
        <v>245</v>
      </c>
      <c r="C99">
        <v>0</v>
      </c>
      <c r="D99">
        <v>0</v>
      </c>
      <c r="E99">
        <v>0</v>
      </c>
      <c r="F99">
        <v>1</v>
      </c>
      <c r="G99" s="13" t="s">
        <v>185</v>
      </c>
      <c r="I99">
        <v>0</v>
      </c>
      <c r="J99">
        <v>0</v>
      </c>
      <c r="K99">
        <v>0</v>
      </c>
      <c r="L99">
        <v>1</v>
      </c>
      <c r="M99" s="13" t="s">
        <v>185</v>
      </c>
    </row>
    <row r="100" spans="1:13" ht="14.4">
      <c r="A100" s="14">
        <v>152</v>
      </c>
      <c r="B100" s="13" t="s">
        <v>246</v>
      </c>
      <c r="C100">
        <v>0</v>
      </c>
      <c r="D100">
        <v>0</v>
      </c>
      <c r="E100">
        <v>0</v>
      </c>
      <c r="F100">
        <v>0</v>
      </c>
      <c r="G100" s="13" t="s">
        <v>185</v>
      </c>
      <c r="I100">
        <v>1</v>
      </c>
      <c r="J100">
        <v>0</v>
      </c>
      <c r="K100">
        <v>0</v>
      </c>
      <c r="L100">
        <v>1</v>
      </c>
      <c r="M100" s="13" t="s">
        <v>185</v>
      </c>
    </row>
    <row r="101" spans="1:13" ht="14.4">
      <c r="A101" s="14">
        <v>154</v>
      </c>
      <c r="B101" s="13" t="s">
        <v>250</v>
      </c>
      <c r="C101">
        <v>0</v>
      </c>
      <c r="D101">
        <v>0</v>
      </c>
      <c r="E101">
        <v>0</v>
      </c>
      <c r="F101">
        <v>0</v>
      </c>
      <c r="G101" s="13" t="s">
        <v>185</v>
      </c>
      <c r="I101">
        <v>1</v>
      </c>
      <c r="J101">
        <v>0</v>
      </c>
      <c r="K101">
        <v>0</v>
      </c>
      <c r="L101">
        <v>1</v>
      </c>
      <c r="M101" s="13" t="s">
        <v>185</v>
      </c>
    </row>
    <row r="102" spans="1:13" ht="14.4">
      <c r="A102" s="14">
        <v>155</v>
      </c>
      <c r="B102" s="13" t="s">
        <v>251</v>
      </c>
      <c r="C102">
        <v>0</v>
      </c>
      <c r="D102">
        <v>0</v>
      </c>
      <c r="E102">
        <v>0</v>
      </c>
      <c r="F102">
        <v>0</v>
      </c>
      <c r="G102" s="13" t="s">
        <v>185</v>
      </c>
      <c r="I102">
        <v>0</v>
      </c>
      <c r="J102">
        <v>0</v>
      </c>
      <c r="K102">
        <v>0</v>
      </c>
      <c r="L102">
        <v>0</v>
      </c>
      <c r="M102" s="13" t="s">
        <v>185</v>
      </c>
    </row>
    <row r="103" spans="1:13" ht="14.4">
      <c r="A103" s="14">
        <v>157</v>
      </c>
      <c r="B103" s="13" t="s">
        <v>254</v>
      </c>
      <c r="C103">
        <v>0</v>
      </c>
      <c r="D103">
        <v>0</v>
      </c>
      <c r="E103">
        <v>0</v>
      </c>
      <c r="F103">
        <v>0</v>
      </c>
      <c r="G103" s="13" t="s">
        <v>185</v>
      </c>
      <c r="I103">
        <v>1</v>
      </c>
      <c r="J103">
        <v>0</v>
      </c>
      <c r="K103">
        <v>0</v>
      </c>
      <c r="L103">
        <v>1</v>
      </c>
      <c r="M103" s="13" t="s">
        <v>185</v>
      </c>
    </row>
    <row r="104" spans="1:13" ht="14.4">
      <c r="A104" s="14">
        <v>158</v>
      </c>
      <c r="B104" s="13" t="s">
        <v>255</v>
      </c>
      <c r="C104">
        <v>0</v>
      </c>
      <c r="D104">
        <v>0</v>
      </c>
      <c r="E104">
        <v>0</v>
      </c>
      <c r="F104">
        <v>0</v>
      </c>
      <c r="G104" s="13" t="s">
        <v>185</v>
      </c>
      <c r="I104">
        <v>1</v>
      </c>
      <c r="J104">
        <v>0</v>
      </c>
      <c r="K104">
        <v>0</v>
      </c>
      <c r="L104">
        <v>0</v>
      </c>
      <c r="M104" s="13" t="s">
        <v>185</v>
      </c>
    </row>
    <row r="105" spans="1:13" ht="14.4">
      <c r="A105" s="14">
        <v>159</v>
      </c>
      <c r="B105" s="13" t="s">
        <v>256</v>
      </c>
      <c r="C105">
        <v>0</v>
      </c>
      <c r="D105">
        <v>0</v>
      </c>
      <c r="E105">
        <v>0</v>
      </c>
      <c r="F105">
        <v>0</v>
      </c>
      <c r="G105" s="13" t="s">
        <v>185</v>
      </c>
      <c r="I105">
        <v>0</v>
      </c>
      <c r="J105">
        <v>0</v>
      </c>
      <c r="K105">
        <v>0</v>
      </c>
      <c r="L105">
        <v>0</v>
      </c>
      <c r="M105" s="13" t="s">
        <v>185</v>
      </c>
    </row>
    <row r="106" spans="1:13" ht="14.4">
      <c r="A106" s="14">
        <v>168</v>
      </c>
      <c r="B106" s="13" t="s">
        <v>266</v>
      </c>
      <c r="C106">
        <v>0</v>
      </c>
      <c r="D106">
        <v>0</v>
      </c>
      <c r="E106">
        <v>0</v>
      </c>
      <c r="F106">
        <v>0</v>
      </c>
      <c r="G106" s="13" t="s">
        <v>185</v>
      </c>
      <c r="I106">
        <v>1</v>
      </c>
      <c r="J106">
        <v>0</v>
      </c>
      <c r="K106">
        <v>0</v>
      </c>
      <c r="L106">
        <v>1</v>
      </c>
      <c r="M106" s="13" t="s">
        <v>185</v>
      </c>
    </row>
    <row r="107" spans="1:13" ht="14.4">
      <c r="A107" s="14">
        <v>169</v>
      </c>
      <c r="B107" s="13" t="s">
        <v>268</v>
      </c>
      <c r="C107">
        <v>0</v>
      </c>
      <c r="D107">
        <v>1</v>
      </c>
      <c r="E107">
        <v>0</v>
      </c>
      <c r="F107">
        <v>0</v>
      </c>
      <c r="G107" s="13" t="s">
        <v>185</v>
      </c>
      <c r="I107">
        <v>1</v>
      </c>
      <c r="J107">
        <v>1</v>
      </c>
      <c r="K107">
        <v>1</v>
      </c>
      <c r="L107">
        <v>0</v>
      </c>
      <c r="M107" s="13" t="s">
        <v>185</v>
      </c>
    </row>
    <row r="108" spans="1:13" ht="14.4">
      <c r="A108" s="14">
        <v>171</v>
      </c>
      <c r="B108" s="13" t="s">
        <v>270</v>
      </c>
      <c r="C108">
        <v>1</v>
      </c>
      <c r="D108">
        <v>0</v>
      </c>
      <c r="E108">
        <v>0</v>
      </c>
      <c r="F108">
        <v>0</v>
      </c>
      <c r="G108" s="13" t="s">
        <v>185</v>
      </c>
      <c r="I108">
        <v>1</v>
      </c>
      <c r="J108">
        <v>0</v>
      </c>
      <c r="K108">
        <v>1</v>
      </c>
      <c r="L108">
        <v>1</v>
      </c>
      <c r="M108" s="13" t="s">
        <v>185</v>
      </c>
    </row>
    <row r="109" spans="1:13" ht="14.4">
      <c r="A109" s="14">
        <v>172</v>
      </c>
      <c r="B109" s="13" t="s">
        <v>271</v>
      </c>
      <c r="C109">
        <v>0</v>
      </c>
      <c r="D109">
        <v>0</v>
      </c>
      <c r="E109">
        <v>0</v>
      </c>
      <c r="F109">
        <v>0</v>
      </c>
      <c r="G109" s="13" t="s">
        <v>185</v>
      </c>
      <c r="I109">
        <v>1</v>
      </c>
      <c r="J109">
        <v>0</v>
      </c>
      <c r="K109">
        <v>1</v>
      </c>
      <c r="L109">
        <v>1</v>
      </c>
      <c r="M109" s="13" t="s">
        <v>185</v>
      </c>
    </row>
    <row r="110" spans="1:13" ht="14.4">
      <c r="A110" s="14">
        <v>173</v>
      </c>
      <c r="B110" s="13" t="s">
        <v>272</v>
      </c>
      <c r="C110">
        <v>0</v>
      </c>
      <c r="D110">
        <v>0</v>
      </c>
      <c r="E110">
        <v>0</v>
      </c>
      <c r="F110">
        <v>0</v>
      </c>
      <c r="G110" s="13" t="s">
        <v>185</v>
      </c>
      <c r="I110">
        <v>0</v>
      </c>
      <c r="J110">
        <v>0</v>
      </c>
      <c r="K110">
        <v>0</v>
      </c>
      <c r="L110">
        <v>1</v>
      </c>
      <c r="M110" s="13" t="s">
        <v>185</v>
      </c>
    </row>
    <row r="111" spans="1:13" ht="14.4">
      <c r="A111" s="14">
        <v>175</v>
      </c>
      <c r="B111" s="13" t="s">
        <v>275</v>
      </c>
      <c r="C111">
        <v>0</v>
      </c>
      <c r="D111">
        <v>0</v>
      </c>
      <c r="E111">
        <v>0</v>
      </c>
      <c r="F111">
        <v>0</v>
      </c>
      <c r="G111" s="13" t="s">
        <v>185</v>
      </c>
      <c r="I111">
        <v>0</v>
      </c>
      <c r="J111">
        <v>0</v>
      </c>
      <c r="K111">
        <v>0</v>
      </c>
      <c r="L111">
        <v>0</v>
      </c>
      <c r="M111" s="13" t="s">
        <v>185</v>
      </c>
    </row>
    <row r="112" spans="1:13" ht="14.4">
      <c r="A112" s="14">
        <v>176</v>
      </c>
      <c r="B112" s="13" t="s">
        <v>276</v>
      </c>
      <c r="C112">
        <v>0</v>
      </c>
      <c r="D112">
        <v>0</v>
      </c>
      <c r="E112">
        <v>0</v>
      </c>
      <c r="F112">
        <v>0</v>
      </c>
      <c r="G112" s="13" t="s">
        <v>185</v>
      </c>
      <c r="I112">
        <v>1</v>
      </c>
      <c r="J112">
        <v>0</v>
      </c>
      <c r="K112">
        <v>0</v>
      </c>
      <c r="L112">
        <v>1</v>
      </c>
      <c r="M112" s="13" t="s">
        <v>185</v>
      </c>
    </row>
    <row r="113" spans="1:13" ht="14.4">
      <c r="A113" s="14">
        <v>177</v>
      </c>
      <c r="B113" s="13" t="s">
        <v>278</v>
      </c>
      <c r="C113">
        <v>1</v>
      </c>
      <c r="D113">
        <v>0</v>
      </c>
      <c r="E113">
        <v>0</v>
      </c>
      <c r="F113">
        <v>0</v>
      </c>
      <c r="G113" s="13" t="s">
        <v>185</v>
      </c>
      <c r="I113">
        <v>1</v>
      </c>
      <c r="L113">
        <v>1</v>
      </c>
      <c r="M113" s="13" t="s">
        <v>185</v>
      </c>
    </row>
    <row r="114" spans="1:13" ht="14.4">
      <c r="A114" s="14">
        <v>178</v>
      </c>
      <c r="B114" s="13" t="s">
        <v>280</v>
      </c>
      <c r="C114">
        <v>0</v>
      </c>
      <c r="D114">
        <v>0</v>
      </c>
      <c r="E114">
        <v>0</v>
      </c>
      <c r="F114">
        <v>0</v>
      </c>
      <c r="G114" s="13" t="s">
        <v>185</v>
      </c>
      <c r="I114">
        <v>1</v>
      </c>
      <c r="J114">
        <v>0</v>
      </c>
      <c r="K114">
        <v>0</v>
      </c>
      <c r="L114">
        <v>1</v>
      </c>
      <c r="M114" s="13" t="s">
        <v>185</v>
      </c>
    </row>
    <row r="115" spans="1:13" ht="14.4">
      <c r="A115" s="14">
        <v>180</v>
      </c>
      <c r="B115" s="13" t="s">
        <v>283</v>
      </c>
      <c r="C115">
        <v>0</v>
      </c>
      <c r="D115">
        <v>1</v>
      </c>
      <c r="E115">
        <v>0</v>
      </c>
      <c r="F115">
        <v>0</v>
      </c>
      <c r="G115" s="13" t="s">
        <v>185</v>
      </c>
      <c r="I115">
        <v>0</v>
      </c>
      <c r="J115">
        <v>1</v>
      </c>
      <c r="K115">
        <v>0</v>
      </c>
      <c r="L115">
        <v>1</v>
      </c>
      <c r="M115" s="13" t="s">
        <v>185</v>
      </c>
    </row>
    <row r="116" spans="1:13" ht="14.4">
      <c r="A116" s="14">
        <v>181</v>
      </c>
      <c r="B116" s="13" t="s">
        <v>285</v>
      </c>
      <c r="C116">
        <v>0</v>
      </c>
      <c r="D116">
        <v>1</v>
      </c>
      <c r="E116">
        <v>0</v>
      </c>
      <c r="F116">
        <v>1</v>
      </c>
      <c r="G116" s="13" t="s">
        <v>185</v>
      </c>
      <c r="I116">
        <v>1</v>
      </c>
      <c r="J116">
        <v>1</v>
      </c>
      <c r="K116">
        <v>0</v>
      </c>
      <c r="L116">
        <v>1</v>
      </c>
      <c r="M116" s="13" t="s">
        <v>185</v>
      </c>
    </row>
    <row r="117" spans="1:13" ht="14.4">
      <c r="A117" s="14">
        <v>183</v>
      </c>
      <c r="B117" s="13" t="s">
        <v>287</v>
      </c>
      <c r="C117">
        <v>0</v>
      </c>
      <c r="D117">
        <v>0</v>
      </c>
      <c r="E117">
        <v>0</v>
      </c>
      <c r="F117">
        <v>0</v>
      </c>
      <c r="G117" s="13" t="s">
        <v>185</v>
      </c>
      <c r="I117">
        <v>1</v>
      </c>
      <c r="J117">
        <v>0</v>
      </c>
      <c r="K117">
        <v>1</v>
      </c>
      <c r="L117">
        <v>1</v>
      </c>
      <c r="M117" s="13" t="s">
        <v>185</v>
      </c>
    </row>
    <row r="118" spans="1:13" ht="14.4">
      <c r="A118" s="14">
        <v>184</v>
      </c>
      <c r="B118" s="13" t="s">
        <v>289</v>
      </c>
      <c r="C118">
        <v>0</v>
      </c>
      <c r="D118">
        <v>0</v>
      </c>
      <c r="E118">
        <v>0</v>
      </c>
      <c r="F118">
        <v>0</v>
      </c>
      <c r="G118" s="13" t="s">
        <v>185</v>
      </c>
      <c r="I118">
        <v>1</v>
      </c>
      <c r="J118">
        <v>0</v>
      </c>
      <c r="K118">
        <v>1</v>
      </c>
      <c r="L118">
        <v>0</v>
      </c>
      <c r="M118" s="13" t="s">
        <v>185</v>
      </c>
    </row>
    <row r="119" spans="1:13" ht="14.4">
      <c r="A119" s="14">
        <v>186</v>
      </c>
      <c r="B119" s="13" t="s">
        <v>293</v>
      </c>
      <c r="C119">
        <v>0</v>
      </c>
      <c r="D119">
        <v>0</v>
      </c>
      <c r="E119">
        <v>0</v>
      </c>
      <c r="F119">
        <v>1</v>
      </c>
      <c r="G119" s="13" t="s">
        <v>185</v>
      </c>
      <c r="I119">
        <v>1</v>
      </c>
      <c r="J119">
        <v>0</v>
      </c>
      <c r="K119">
        <v>0</v>
      </c>
      <c r="L119">
        <v>1</v>
      </c>
      <c r="M119" s="13" t="s">
        <v>185</v>
      </c>
    </row>
    <row r="120" spans="1:13" ht="14.4">
      <c r="A120" s="14">
        <v>188</v>
      </c>
      <c r="B120" s="13" t="s">
        <v>295</v>
      </c>
      <c r="C120">
        <v>0</v>
      </c>
      <c r="D120">
        <v>0</v>
      </c>
      <c r="E120">
        <v>0</v>
      </c>
      <c r="F120">
        <v>0</v>
      </c>
      <c r="G120" s="13" t="s">
        <v>185</v>
      </c>
      <c r="I120">
        <v>1</v>
      </c>
      <c r="J120">
        <v>0</v>
      </c>
      <c r="K120">
        <v>0</v>
      </c>
      <c r="L120">
        <v>1</v>
      </c>
      <c r="M120" s="13" t="s">
        <v>185</v>
      </c>
    </row>
    <row r="121" spans="1:13" ht="14.4">
      <c r="A121" s="14">
        <v>190</v>
      </c>
      <c r="B121" s="13" t="s">
        <v>297</v>
      </c>
      <c r="G121" s="13" t="s">
        <v>185</v>
      </c>
      <c r="M121" s="13" t="s">
        <v>185</v>
      </c>
    </row>
    <row r="122" spans="1:13" ht="14.4">
      <c r="A122" s="14">
        <v>191</v>
      </c>
      <c r="B122" s="13" t="s">
        <v>298</v>
      </c>
      <c r="C122">
        <v>1</v>
      </c>
      <c r="D122">
        <v>0</v>
      </c>
      <c r="E122">
        <v>0</v>
      </c>
      <c r="F122">
        <v>1</v>
      </c>
      <c r="G122" s="13" t="s">
        <v>185</v>
      </c>
      <c r="I122">
        <v>1</v>
      </c>
      <c r="J122">
        <v>0</v>
      </c>
      <c r="K122">
        <v>1</v>
      </c>
      <c r="L122">
        <v>1</v>
      </c>
      <c r="M122" s="13" t="s">
        <v>185</v>
      </c>
    </row>
    <row r="123" spans="1:13" ht="14.4">
      <c r="A123" s="14">
        <v>192</v>
      </c>
      <c r="B123" s="13" t="s">
        <v>299</v>
      </c>
      <c r="C123">
        <v>1</v>
      </c>
      <c r="D123">
        <v>1</v>
      </c>
      <c r="E123">
        <v>0</v>
      </c>
      <c r="F123">
        <v>0</v>
      </c>
      <c r="G123" s="13" t="s">
        <v>185</v>
      </c>
      <c r="I123">
        <v>1</v>
      </c>
      <c r="J123">
        <v>1</v>
      </c>
      <c r="K123">
        <v>0</v>
      </c>
      <c r="L123">
        <v>1</v>
      </c>
      <c r="M123" s="13" t="s">
        <v>185</v>
      </c>
    </row>
    <row r="124" spans="1:13" ht="14.4">
      <c r="A124" s="14">
        <v>194</v>
      </c>
      <c r="B124" s="13" t="s">
        <v>302</v>
      </c>
      <c r="C124">
        <v>0</v>
      </c>
      <c r="D124">
        <v>0</v>
      </c>
      <c r="E124">
        <v>0</v>
      </c>
      <c r="F124">
        <v>1</v>
      </c>
      <c r="G124" s="13" t="s">
        <v>185</v>
      </c>
      <c r="I124">
        <v>1</v>
      </c>
      <c r="J124">
        <v>0</v>
      </c>
      <c r="K124">
        <v>0</v>
      </c>
      <c r="L124">
        <v>1</v>
      </c>
      <c r="M124" s="13" t="s">
        <v>185</v>
      </c>
    </row>
    <row r="125" spans="1:13" ht="14.4">
      <c r="A125" s="14">
        <v>199</v>
      </c>
      <c r="B125" s="13" t="s">
        <v>306</v>
      </c>
      <c r="C125">
        <v>0</v>
      </c>
      <c r="D125">
        <v>0</v>
      </c>
      <c r="E125">
        <v>0</v>
      </c>
      <c r="F125">
        <v>0</v>
      </c>
      <c r="G125" s="13" t="s">
        <v>185</v>
      </c>
      <c r="I125">
        <v>0</v>
      </c>
      <c r="J125">
        <v>0</v>
      </c>
      <c r="K125">
        <v>0</v>
      </c>
      <c r="L125">
        <v>0</v>
      </c>
      <c r="M125" s="13" t="s">
        <v>185</v>
      </c>
    </row>
    <row r="126" spans="1:13" ht="14.4">
      <c r="A126" s="14">
        <v>200</v>
      </c>
      <c r="B126" s="13" t="s">
        <v>308</v>
      </c>
      <c r="C126">
        <v>0</v>
      </c>
      <c r="D126">
        <v>0</v>
      </c>
      <c r="E126">
        <v>1</v>
      </c>
      <c r="F126">
        <v>1</v>
      </c>
      <c r="G126" s="13" t="s">
        <v>185</v>
      </c>
      <c r="I126">
        <v>0</v>
      </c>
      <c r="J126">
        <v>0</v>
      </c>
      <c r="K126">
        <v>1</v>
      </c>
      <c r="L126">
        <v>1</v>
      </c>
      <c r="M126" s="13" t="s">
        <v>185</v>
      </c>
    </row>
    <row r="127" spans="1:13" ht="14.4">
      <c r="A127" s="14">
        <v>201</v>
      </c>
      <c r="B127" s="13" t="s">
        <v>309</v>
      </c>
      <c r="C127">
        <v>0</v>
      </c>
      <c r="D127">
        <v>0</v>
      </c>
      <c r="E127">
        <v>0</v>
      </c>
      <c r="F127">
        <v>1</v>
      </c>
      <c r="G127" s="13" t="s">
        <v>185</v>
      </c>
      <c r="I127">
        <v>1</v>
      </c>
      <c r="J127">
        <v>0</v>
      </c>
      <c r="K127">
        <v>0</v>
      </c>
      <c r="L127">
        <v>1</v>
      </c>
      <c r="M127" s="13" t="s">
        <v>185</v>
      </c>
    </row>
    <row r="128" spans="1:13" ht="14.4">
      <c r="A128" s="14">
        <v>202</v>
      </c>
      <c r="B128" s="13" t="s">
        <v>310</v>
      </c>
      <c r="C128">
        <v>0</v>
      </c>
      <c r="D128">
        <v>1</v>
      </c>
      <c r="E128">
        <v>0</v>
      </c>
      <c r="F128">
        <v>1</v>
      </c>
      <c r="G128" s="13" t="s">
        <v>185</v>
      </c>
      <c r="I128">
        <v>1</v>
      </c>
      <c r="J128">
        <v>1</v>
      </c>
      <c r="K128">
        <v>1</v>
      </c>
      <c r="L128">
        <v>1</v>
      </c>
      <c r="M128" s="13" t="s">
        <v>185</v>
      </c>
    </row>
    <row r="129" spans="1:13" ht="14.4">
      <c r="A129" s="14">
        <v>203</v>
      </c>
      <c r="B129" s="13" t="s">
        <v>312</v>
      </c>
      <c r="C129">
        <v>0</v>
      </c>
      <c r="D129">
        <v>0</v>
      </c>
      <c r="E129">
        <v>0</v>
      </c>
      <c r="F129">
        <v>0</v>
      </c>
      <c r="G129" s="13" t="s">
        <v>185</v>
      </c>
      <c r="I129">
        <v>1</v>
      </c>
      <c r="J129">
        <v>1</v>
      </c>
      <c r="K129">
        <v>1</v>
      </c>
      <c r="L129">
        <v>1</v>
      </c>
      <c r="M129" s="13" t="s">
        <v>185</v>
      </c>
    </row>
    <row r="130" spans="1:13" ht="14.4">
      <c r="A130" s="14">
        <v>204</v>
      </c>
      <c r="B130" s="13" t="s">
        <v>314</v>
      </c>
      <c r="C130">
        <v>1</v>
      </c>
      <c r="D130">
        <v>0</v>
      </c>
      <c r="E130">
        <v>0</v>
      </c>
      <c r="F130">
        <v>0</v>
      </c>
      <c r="G130" s="13" t="s">
        <v>185</v>
      </c>
      <c r="I130">
        <v>1</v>
      </c>
      <c r="J130">
        <v>0</v>
      </c>
      <c r="K130">
        <v>0</v>
      </c>
      <c r="L130">
        <v>1</v>
      </c>
      <c r="M130" s="13" t="s">
        <v>185</v>
      </c>
    </row>
    <row r="131" spans="1:13" ht="14.4">
      <c r="A131" s="14">
        <v>205</v>
      </c>
      <c r="B131" s="13" t="s">
        <v>316</v>
      </c>
      <c r="C131">
        <v>0</v>
      </c>
      <c r="D131">
        <v>0</v>
      </c>
      <c r="E131">
        <v>0</v>
      </c>
      <c r="F131">
        <v>0</v>
      </c>
      <c r="G131" s="13" t="s">
        <v>185</v>
      </c>
      <c r="I131">
        <v>0</v>
      </c>
      <c r="J131">
        <v>0</v>
      </c>
      <c r="K131">
        <v>0</v>
      </c>
      <c r="L131">
        <v>0</v>
      </c>
      <c r="M131" s="13" t="s">
        <v>185</v>
      </c>
    </row>
    <row r="132" spans="1:13" ht="14.4">
      <c r="A132" s="14">
        <v>206</v>
      </c>
      <c r="B132" s="13" t="s">
        <v>318</v>
      </c>
      <c r="C132">
        <v>0</v>
      </c>
      <c r="D132">
        <v>0</v>
      </c>
      <c r="E132">
        <v>0</v>
      </c>
      <c r="F132">
        <v>0</v>
      </c>
      <c r="G132" s="13" t="s">
        <v>185</v>
      </c>
      <c r="I132">
        <v>0</v>
      </c>
      <c r="J132">
        <v>0</v>
      </c>
      <c r="K132">
        <v>0</v>
      </c>
      <c r="L132">
        <v>1</v>
      </c>
      <c r="M132" s="13" t="s">
        <v>185</v>
      </c>
    </row>
    <row r="133" spans="1:13" ht="14.4">
      <c r="A133" s="14">
        <v>207</v>
      </c>
      <c r="B133" s="13" t="s">
        <v>320</v>
      </c>
      <c r="C133">
        <v>0</v>
      </c>
      <c r="D133">
        <v>0</v>
      </c>
      <c r="E133">
        <v>0</v>
      </c>
      <c r="F133">
        <v>0</v>
      </c>
      <c r="G133" s="13" t="s">
        <v>185</v>
      </c>
      <c r="I133">
        <v>1</v>
      </c>
      <c r="J133">
        <v>0</v>
      </c>
      <c r="K133">
        <v>0</v>
      </c>
      <c r="L133">
        <v>0</v>
      </c>
      <c r="M133" s="13" t="s">
        <v>185</v>
      </c>
    </row>
    <row r="134" spans="1:13" ht="14.4">
      <c r="A134" s="14">
        <v>208</v>
      </c>
      <c r="B134" s="13" t="s">
        <v>322</v>
      </c>
      <c r="C134">
        <v>0</v>
      </c>
      <c r="D134">
        <v>0</v>
      </c>
      <c r="E134">
        <v>0</v>
      </c>
      <c r="F134">
        <v>0</v>
      </c>
      <c r="G134" s="13" t="s">
        <v>185</v>
      </c>
      <c r="I134">
        <v>1</v>
      </c>
      <c r="J134">
        <v>0</v>
      </c>
      <c r="K134">
        <v>1</v>
      </c>
      <c r="L134">
        <v>1</v>
      </c>
      <c r="M134" s="13" t="s">
        <v>185</v>
      </c>
    </row>
    <row r="135" spans="1:13" ht="14.4">
      <c r="A135" s="14">
        <v>210</v>
      </c>
      <c r="B135" s="13" t="s">
        <v>325</v>
      </c>
      <c r="C135">
        <v>0</v>
      </c>
      <c r="D135">
        <v>0</v>
      </c>
      <c r="E135">
        <v>0</v>
      </c>
      <c r="F135">
        <v>0</v>
      </c>
      <c r="G135" s="13" t="s">
        <v>185</v>
      </c>
      <c r="I135">
        <v>0</v>
      </c>
      <c r="J135">
        <v>0</v>
      </c>
      <c r="K135">
        <v>1</v>
      </c>
      <c r="L135">
        <v>1</v>
      </c>
      <c r="M135" s="13" t="s">
        <v>185</v>
      </c>
    </row>
    <row r="136" spans="1:13" ht="14.4">
      <c r="A136" s="14">
        <v>211</v>
      </c>
      <c r="B136" s="13" t="s">
        <v>327</v>
      </c>
      <c r="C136">
        <v>0</v>
      </c>
      <c r="D136">
        <v>0</v>
      </c>
      <c r="E136">
        <v>0</v>
      </c>
      <c r="F136">
        <v>0</v>
      </c>
      <c r="G136" s="13" t="s">
        <v>185</v>
      </c>
      <c r="I136">
        <v>0</v>
      </c>
      <c r="J136">
        <v>0</v>
      </c>
      <c r="K136">
        <v>1</v>
      </c>
      <c r="L136">
        <v>1</v>
      </c>
      <c r="M136" s="13" t="s">
        <v>185</v>
      </c>
    </row>
    <row r="137" spans="1:13" ht="14.4">
      <c r="A137" s="14">
        <v>212</v>
      </c>
      <c r="B137" s="13" t="s">
        <v>329</v>
      </c>
      <c r="C137">
        <v>0</v>
      </c>
      <c r="D137">
        <v>1</v>
      </c>
      <c r="E137">
        <v>0</v>
      </c>
      <c r="F137">
        <v>0</v>
      </c>
      <c r="G137" s="13" t="s">
        <v>185</v>
      </c>
      <c r="I137">
        <v>1</v>
      </c>
      <c r="J137">
        <v>1</v>
      </c>
      <c r="K137">
        <v>1</v>
      </c>
      <c r="L137">
        <v>1</v>
      </c>
      <c r="M137" s="13" t="s">
        <v>185</v>
      </c>
    </row>
    <row r="138" spans="1:13" ht="14.4">
      <c r="A138" s="14">
        <v>214</v>
      </c>
      <c r="B138" s="13" t="s">
        <v>332</v>
      </c>
      <c r="C138">
        <v>0</v>
      </c>
      <c r="D138">
        <v>0</v>
      </c>
      <c r="E138">
        <v>0</v>
      </c>
      <c r="F138">
        <v>0</v>
      </c>
      <c r="G138" s="13" t="s">
        <v>185</v>
      </c>
      <c r="I138">
        <v>1</v>
      </c>
      <c r="J138">
        <v>1</v>
      </c>
      <c r="K138">
        <v>1</v>
      </c>
      <c r="L138">
        <v>1</v>
      </c>
      <c r="M138" s="13" t="s">
        <v>185</v>
      </c>
    </row>
    <row r="139" spans="1:13" ht="14.4">
      <c r="A139" s="14">
        <v>215</v>
      </c>
      <c r="B139" s="13" t="s">
        <v>334</v>
      </c>
      <c r="C139">
        <v>1</v>
      </c>
      <c r="D139">
        <v>0</v>
      </c>
      <c r="E139">
        <v>0</v>
      </c>
      <c r="F139">
        <v>0</v>
      </c>
      <c r="G139" s="13" t="s">
        <v>185</v>
      </c>
      <c r="I139">
        <v>1</v>
      </c>
      <c r="J139">
        <v>0</v>
      </c>
      <c r="K139">
        <v>0</v>
      </c>
      <c r="L139">
        <v>1</v>
      </c>
      <c r="M139" s="13" t="s">
        <v>185</v>
      </c>
    </row>
    <row r="140" spans="1:13" ht="14.4">
      <c r="A140" s="14">
        <v>217</v>
      </c>
      <c r="B140" s="13" t="s">
        <v>337</v>
      </c>
      <c r="C140">
        <v>0</v>
      </c>
      <c r="D140">
        <v>1</v>
      </c>
      <c r="E140">
        <v>1</v>
      </c>
      <c r="F140">
        <v>0</v>
      </c>
      <c r="G140" s="13" t="s">
        <v>185</v>
      </c>
      <c r="I140">
        <v>1</v>
      </c>
      <c r="J140">
        <v>1</v>
      </c>
      <c r="K140">
        <v>1</v>
      </c>
      <c r="L140">
        <v>1</v>
      </c>
      <c r="M140" s="13" t="s">
        <v>185</v>
      </c>
    </row>
    <row r="141" spans="1:13" ht="14.4">
      <c r="A141" s="14">
        <v>218</v>
      </c>
      <c r="B141" s="13" t="s">
        <v>339</v>
      </c>
      <c r="C141">
        <v>1</v>
      </c>
      <c r="D141">
        <v>0</v>
      </c>
      <c r="E141">
        <v>0</v>
      </c>
      <c r="F141">
        <v>0</v>
      </c>
      <c r="G141" s="13" t="s">
        <v>185</v>
      </c>
      <c r="I141">
        <v>1</v>
      </c>
      <c r="J141">
        <v>0</v>
      </c>
      <c r="K141">
        <v>1</v>
      </c>
      <c r="L141">
        <v>0</v>
      </c>
      <c r="M141" s="13" t="s">
        <v>185</v>
      </c>
    </row>
    <row r="142" spans="1:13" ht="14.4">
      <c r="A142" s="14">
        <v>220</v>
      </c>
      <c r="B142" s="13" t="s">
        <v>342</v>
      </c>
      <c r="C142">
        <v>0</v>
      </c>
      <c r="D142">
        <v>0</v>
      </c>
      <c r="E142">
        <v>0</v>
      </c>
      <c r="F142">
        <v>0</v>
      </c>
      <c r="G142" s="13" t="s">
        <v>185</v>
      </c>
      <c r="I142">
        <v>1</v>
      </c>
      <c r="J142">
        <v>0</v>
      </c>
      <c r="K142">
        <v>1</v>
      </c>
      <c r="L142">
        <v>1</v>
      </c>
      <c r="M142" s="13" t="s">
        <v>185</v>
      </c>
    </row>
    <row r="143" spans="1:13" ht="14.4">
      <c r="A143" s="14">
        <v>221</v>
      </c>
      <c r="B143" s="13" t="s">
        <v>344</v>
      </c>
      <c r="C143">
        <v>0</v>
      </c>
      <c r="D143">
        <v>0</v>
      </c>
      <c r="E143">
        <v>0</v>
      </c>
      <c r="F143">
        <v>0</v>
      </c>
      <c r="G143" s="13" t="s">
        <v>185</v>
      </c>
      <c r="I143">
        <v>1</v>
      </c>
      <c r="J143">
        <v>1</v>
      </c>
      <c r="K143">
        <v>1</v>
      </c>
      <c r="L143">
        <v>1</v>
      </c>
      <c r="M143" s="13" t="s">
        <v>185</v>
      </c>
    </row>
    <row r="144" spans="1:13" ht="14.4">
      <c r="A144" s="14">
        <v>222</v>
      </c>
      <c r="B144" s="13" t="s">
        <v>346</v>
      </c>
      <c r="C144">
        <v>0</v>
      </c>
      <c r="D144">
        <v>0</v>
      </c>
      <c r="E144">
        <v>0</v>
      </c>
      <c r="F144">
        <v>0</v>
      </c>
      <c r="G144" s="13" t="s">
        <v>185</v>
      </c>
      <c r="I144">
        <v>1</v>
      </c>
      <c r="J144">
        <v>0</v>
      </c>
      <c r="K144">
        <v>0</v>
      </c>
      <c r="L144">
        <v>1</v>
      </c>
      <c r="M144" s="13" t="s">
        <v>185</v>
      </c>
    </row>
    <row r="145" spans="1:13" ht="14.4">
      <c r="A145" s="14">
        <v>224</v>
      </c>
      <c r="B145" s="13" t="s">
        <v>349</v>
      </c>
      <c r="C145">
        <v>1</v>
      </c>
      <c r="D145">
        <v>0</v>
      </c>
      <c r="E145">
        <v>0</v>
      </c>
      <c r="F145">
        <v>1</v>
      </c>
      <c r="G145" s="13" t="s">
        <v>185</v>
      </c>
      <c r="I145">
        <v>1</v>
      </c>
      <c r="J145">
        <v>0</v>
      </c>
      <c r="K145">
        <v>1</v>
      </c>
      <c r="L145">
        <v>1</v>
      </c>
      <c r="M145" s="13" t="s">
        <v>185</v>
      </c>
    </row>
    <row r="146" spans="1:13" ht="14.4">
      <c r="A146" s="14">
        <v>225</v>
      </c>
      <c r="B146" s="13" t="s">
        <v>351</v>
      </c>
      <c r="C146">
        <v>1</v>
      </c>
      <c r="D146">
        <v>0</v>
      </c>
      <c r="E146">
        <v>0</v>
      </c>
      <c r="F146">
        <v>1</v>
      </c>
      <c r="G146" s="13" t="s">
        <v>185</v>
      </c>
      <c r="I146">
        <v>1</v>
      </c>
      <c r="J146">
        <v>0</v>
      </c>
      <c r="K146">
        <v>1</v>
      </c>
      <c r="L146">
        <v>1</v>
      </c>
      <c r="M146" s="13" t="s">
        <v>185</v>
      </c>
    </row>
    <row r="147" spans="1:13" ht="14.4">
      <c r="A147" s="14">
        <v>226</v>
      </c>
      <c r="B147" s="13" t="s">
        <v>353</v>
      </c>
      <c r="C147">
        <v>1</v>
      </c>
      <c r="D147">
        <v>0</v>
      </c>
      <c r="E147">
        <v>0</v>
      </c>
      <c r="F147">
        <v>1</v>
      </c>
      <c r="G147" s="13" t="s">
        <v>185</v>
      </c>
      <c r="I147">
        <v>1</v>
      </c>
      <c r="J147">
        <v>0</v>
      </c>
      <c r="K147">
        <v>0</v>
      </c>
      <c r="L147">
        <v>1</v>
      </c>
      <c r="M147" s="13" t="s">
        <v>185</v>
      </c>
    </row>
    <row r="148" spans="1:13" ht="14.4">
      <c r="A148" s="14">
        <v>228</v>
      </c>
      <c r="B148" s="13" t="s">
        <v>355</v>
      </c>
      <c r="C148">
        <v>0</v>
      </c>
      <c r="D148">
        <v>0</v>
      </c>
      <c r="E148">
        <v>0</v>
      </c>
      <c r="F148">
        <v>0</v>
      </c>
      <c r="G148" s="13" t="s">
        <v>185</v>
      </c>
      <c r="I148">
        <v>1</v>
      </c>
      <c r="J148">
        <v>0</v>
      </c>
      <c r="K148">
        <v>1</v>
      </c>
      <c r="L148">
        <v>1</v>
      </c>
      <c r="M148" s="13" t="s">
        <v>185</v>
      </c>
    </row>
    <row r="149" spans="1:13" ht="14.4">
      <c r="A149" s="14">
        <v>229</v>
      </c>
      <c r="B149" s="13" t="s">
        <v>357</v>
      </c>
      <c r="C149">
        <v>1</v>
      </c>
      <c r="D149">
        <v>0</v>
      </c>
      <c r="E149">
        <v>0</v>
      </c>
      <c r="F149">
        <v>0</v>
      </c>
      <c r="G149" s="13" t="s">
        <v>185</v>
      </c>
      <c r="I149">
        <v>1</v>
      </c>
      <c r="J149">
        <v>0</v>
      </c>
      <c r="K149">
        <v>1</v>
      </c>
      <c r="L149">
        <v>1</v>
      </c>
      <c r="M149" s="13" t="s">
        <v>185</v>
      </c>
    </row>
    <row r="150" spans="1:13" ht="14.4">
      <c r="A150" s="14">
        <v>231</v>
      </c>
      <c r="B150" s="13" t="s">
        <v>360</v>
      </c>
      <c r="C150">
        <v>0</v>
      </c>
      <c r="D150">
        <v>0</v>
      </c>
      <c r="E150">
        <v>1</v>
      </c>
      <c r="F150">
        <v>0</v>
      </c>
      <c r="G150" s="13" t="s">
        <v>185</v>
      </c>
      <c r="I150">
        <v>0</v>
      </c>
      <c r="J150">
        <v>0</v>
      </c>
      <c r="K150">
        <v>0</v>
      </c>
      <c r="L150">
        <v>1</v>
      </c>
      <c r="M150" s="13" t="s">
        <v>185</v>
      </c>
    </row>
    <row r="151" spans="1:13" ht="14.4">
      <c r="A151" s="14">
        <v>233</v>
      </c>
      <c r="B151" s="13" t="s">
        <v>363</v>
      </c>
      <c r="C151">
        <v>0</v>
      </c>
      <c r="D151">
        <v>0</v>
      </c>
      <c r="E151">
        <v>0</v>
      </c>
      <c r="F151">
        <v>0</v>
      </c>
      <c r="G151" s="13" t="s">
        <v>185</v>
      </c>
      <c r="I151">
        <v>1</v>
      </c>
      <c r="J151">
        <v>1</v>
      </c>
      <c r="K151">
        <v>1</v>
      </c>
      <c r="L151">
        <v>1</v>
      </c>
      <c r="M151" s="13" t="s">
        <v>185</v>
      </c>
    </row>
    <row r="152" spans="1:13" ht="14.4">
      <c r="A152" s="14">
        <v>234</v>
      </c>
      <c r="B152" s="13" t="s">
        <v>365</v>
      </c>
      <c r="C152">
        <v>0</v>
      </c>
      <c r="D152">
        <v>0</v>
      </c>
      <c r="E152">
        <v>0</v>
      </c>
      <c r="F152">
        <v>0</v>
      </c>
      <c r="G152" s="13" t="s">
        <v>185</v>
      </c>
      <c r="I152">
        <v>1</v>
      </c>
      <c r="J152">
        <v>0</v>
      </c>
      <c r="K152">
        <v>1</v>
      </c>
      <c r="L152">
        <v>1</v>
      </c>
      <c r="M152" s="13" t="s">
        <v>185</v>
      </c>
    </row>
    <row r="153" spans="1:13" ht="14.4">
      <c r="A153" s="14">
        <v>235</v>
      </c>
      <c r="B153" s="13" t="s">
        <v>367</v>
      </c>
      <c r="C153">
        <v>0</v>
      </c>
      <c r="D153">
        <v>0</v>
      </c>
      <c r="E153">
        <v>0</v>
      </c>
      <c r="F153">
        <v>0</v>
      </c>
      <c r="G153" s="13" t="s">
        <v>185</v>
      </c>
      <c r="I153">
        <v>1</v>
      </c>
      <c r="J153">
        <v>1</v>
      </c>
      <c r="K153">
        <v>1</v>
      </c>
      <c r="L153">
        <v>0</v>
      </c>
      <c r="M153" s="13" t="s">
        <v>185</v>
      </c>
    </row>
    <row r="154" spans="1:13" ht="14.4">
      <c r="A154" s="14">
        <v>237</v>
      </c>
      <c r="B154" s="13" t="s">
        <v>370</v>
      </c>
      <c r="C154">
        <v>0</v>
      </c>
      <c r="D154">
        <v>0</v>
      </c>
      <c r="E154">
        <v>0</v>
      </c>
      <c r="F154">
        <v>0</v>
      </c>
      <c r="G154" s="13" t="s">
        <v>185</v>
      </c>
      <c r="I154">
        <v>1</v>
      </c>
      <c r="J154">
        <v>1</v>
      </c>
      <c r="K154">
        <v>0</v>
      </c>
      <c r="L154">
        <v>1</v>
      </c>
      <c r="M154" s="13" t="s">
        <v>185</v>
      </c>
    </row>
    <row r="155" spans="1:13" ht="14.4">
      <c r="A155" s="14">
        <v>240</v>
      </c>
      <c r="B155" s="13" t="s">
        <v>374</v>
      </c>
      <c r="C155">
        <v>1</v>
      </c>
      <c r="D155">
        <v>0</v>
      </c>
      <c r="E155">
        <v>0</v>
      </c>
      <c r="F155">
        <v>1</v>
      </c>
      <c r="G155" s="13" t="s">
        <v>185</v>
      </c>
      <c r="I155">
        <v>1</v>
      </c>
      <c r="J155">
        <v>1</v>
      </c>
      <c r="K155">
        <v>0</v>
      </c>
      <c r="L155">
        <v>1</v>
      </c>
      <c r="M155" s="13" t="s">
        <v>185</v>
      </c>
    </row>
    <row r="156" spans="1:13" ht="14.4">
      <c r="A156" s="14">
        <v>241</v>
      </c>
      <c r="B156" s="13" t="s">
        <v>376</v>
      </c>
      <c r="C156">
        <v>0</v>
      </c>
      <c r="D156">
        <v>0</v>
      </c>
      <c r="E156">
        <v>0</v>
      </c>
      <c r="F156">
        <v>0</v>
      </c>
      <c r="G156" s="13" t="s">
        <v>185</v>
      </c>
      <c r="I156">
        <v>0</v>
      </c>
      <c r="J156">
        <v>1</v>
      </c>
      <c r="K156">
        <v>1</v>
      </c>
      <c r="L156">
        <v>1</v>
      </c>
      <c r="M156" s="13" t="s">
        <v>185</v>
      </c>
    </row>
    <row r="157" spans="1:13" ht="14.4">
      <c r="A157" s="14">
        <v>243</v>
      </c>
      <c r="B157" s="13" t="s">
        <v>379</v>
      </c>
      <c r="C157">
        <v>1</v>
      </c>
      <c r="D157">
        <v>0</v>
      </c>
      <c r="E157">
        <v>1</v>
      </c>
      <c r="F157">
        <v>0</v>
      </c>
      <c r="G157" s="13" t="s">
        <v>185</v>
      </c>
      <c r="I157">
        <v>1</v>
      </c>
      <c r="J157">
        <v>0</v>
      </c>
      <c r="K157">
        <v>1</v>
      </c>
      <c r="L157">
        <v>0</v>
      </c>
      <c r="M157" s="13" t="s">
        <v>185</v>
      </c>
    </row>
    <row r="158" spans="1:13" ht="14.4">
      <c r="A158" s="14">
        <v>244</v>
      </c>
      <c r="B158" s="13" t="s">
        <v>381</v>
      </c>
      <c r="C158">
        <v>1</v>
      </c>
      <c r="D158">
        <v>0</v>
      </c>
      <c r="E158">
        <v>0</v>
      </c>
      <c r="F158">
        <v>1</v>
      </c>
      <c r="G158" s="13" t="s">
        <v>185</v>
      </c>
      <c r="I158">
        <v>1</v>
      </c>
      <c r="J158">
        <v>0</v>
      </c>
      <c r="K158">
        <v>0</v>
      </c>
      <c r="L158">
        <v>1</v>
      </c>
      <c r="M158" s="13" t="s">
        <v>185</v>
      </c>
    </row>
    <row r="159" spans="1:13" ht="14.4">
      <c r="A159" s="14">
        <v>246</v>
      </c>
      <c r="B159" s="13" t="s">
        <v>384</v>
      </c>
      <c r="C159">
        <v>1</v>
      </c>
      <c r="D159">
        <v>1</v>
      </c>
      <c r="E159">
        <v>0</v>
      </c>
      <c r="F159">
        <v>1</v>
      </c>
      <c r="G159" s="13" t="s">
        <v>185</v>
      </c>
      <c r="I159">
        <v>1</v>
      </c>
      <c r="J159">
        <v>0</v>
      </c>
      <c r="K159">
        <v>0</v>
      </c>
      <c r="L159">
        <v>1</v>
      </c>
      <c r="M159" s="13" t="s">
        <v>185</v>
      </c>
    </row>
    <row r="160" spans="1:13" ht="14.4">
      <c r="A160" s="14">
        <v>248</v>
      </c>
      <c r="B160" s="13" t="s">
        <v>387</v>
      </c>
      <c r="C160">
        <v>0</v>
      </c>
      <c r="D160">
        <v>0</v>
      </c>
      <c r="E160">
        <v>0</v>
      </c>
      <c r="F160">
        <v>0</v>
      </c>
      <c r="G160" s="13" t="s">
        <v>185</v>
      </c>
      <c r="I160">
        <v>1</v>
      </c>
      <c r="J160">
        <v>0</v>
      </c>
      <c r="K160">
        <v>0</v>
      </c>
      <c r="L160">
        <v>1</v>
      </c>
      <c r="M160" s="13" t="s">
        <v>185</v>
      </c>
    </row>
    <row r="161" spans="1:13" ht="14.4">
      <c r="A161" s="14">
        <v>249</v>
      </c>
      <c r="B161" s="13" t="s">
        <v>389</v>
      </c>
      <c r="C161">
        <v>0</v>
      </c>
      <c r="D161">
        <v>0</v>
      </c>
      <c r="E161">
        <v>0</v>
      </c>
      <c r="F161">
        <v>0</v>
      </c>
      <c r="G161" s="13" t="s">
        <v>185</v>
      </c>
      <c r="I161">
        <v>1</v>
      </c>
      <c r="J161">
        <v>0</v>
      </c>
      <c r="K161">
        <v>0</v>
      </c>
      <c r="L161">
        <v>1</v>
      </c>
      <c r="M161" s="13" t="s">
        <v>185</v>
      </c>
    </row>
    <row r="162" spans="1:13" ht="14.4">
      <c r="A162" s="14">
        <v>252</v>
      </c>
      <c r="B162" s="13" t="s">
        <v>393</v>
      </c>
      <c r="C162">
        <v>1</v>
      </c>
      <c r="D162">
        <v>0</v>
      </c>
      <c r="E162">
        <v>0</v>
      </c>
      <c r="F162">
        <v>0</v>
      </c>
      <c r="G162" s="13" t="s">
        <v>185</v>
      </c>
      <c r="I162">
        <v>1</v>
      </c>
      <c r="J162">
        <v>0</v>
      </c>
      <c r="K162">
        <v>1</v>
      </c>
      <c r="L162">
        <v>1</v>
      </c>
      <c r="M162" s="13" t="s">
        <v>185</v>
      </c>
    </row>
    <row r="163" spans="1:13" ht="14.4">
      <c r="A163" s="14">
        <v>253</v>
      </c>
      <c r="B163" s="13" t="s">
        <v>395</v>
      </c>
      <c r="C163">
        <v>0</v>
      </c>
      <c r="D163">
        <v>0</v>
      </c>
      <c r="E163">
        <v>0</v>
      </c>
      <c r="F163">
        <v>0</v>
      </c>
      <c r="G163" s="13" t="s">
        <v>185</v>
      </c>
      <c r="I163">
        <v>1</v>
      </c>
      <c r="J163">
        <v>0</v>
      </c>
      <c r="K163">
        <v>1</v>
      </c>
      <c r="L163">
        <v>1</v>
      </c>
      <c r="M163" s="13" t="s">
        <v>185</v>
      </c>
    </row>
    <row r="164" spans="1:13" ht="14.4">
      <c r="A164" s="14">
        <v>256</v>
      </c>
      <c r="B164" s="13" t="s">
        <v>399</v>
      </c>
      <c r="C164">
        <v>1</v>
      </c>
      <c r="D164">
        <v>0</v>
      </c>
      <c r="E164">
        <v>0</v>
      </c>
      <c r="F164">
        <v>0</v>
      </c>
      <c r="G164" s="13" t="s">
        <v>185</v>
      </c>
      <c r="I164">
        <v>1</v>
      </c>
      <c r="J164">
        <v>0</v>
      </c>
      <c r="K164">
        <v>1</v>
      </c>
      <c r="L164">
        <v>0</v>
      </c>
      <c r="M164" s="13" t="s">
        <v>185</v>
      </c>
    </row>
    <row r="165" spans="1:13" ht="14.4">
      <c r="A165" s="14">
        <v>257</v>
      </c>
      <c r="B165" s="13" t="s">
        <v>401</v>
      </c>
      <c r="C165">
        <v>1</v>
      </c>
      <c r="D165">
        <v>1</v>
      </c>
      <c r="E165">
        <v>0</v>
      </c>
      <c r="F165">
        <v>0</v>
      </c>
      <c r="G165" s="13" t="s">
        <v>185</v>
      </c>
      <c r="I165">
        <v>1</v>
      </c>
      <c r="J165">
        <v>1</v>
      </c>
      <c r="K165">
        <v>1</v>
      </c>
      <c r="L165">
        <v>1</v>
      </c>
      <c r="M165" s="13" t="s">
        <v>185</v>
      </c>
    </row>
    <row r="166" spans="1:13" ht="14.4">
      <c r="A166" s="14">
        <v>258</v>
      </c>
      <c r="B166" s="13" t="s">
        <v>403</v>
      </c>
      <c r="C166">
        <v>0</v>
      </c>
      <c r="D166">
        <v>0</v>
      </c>
      <c r="E166">
        <v>0</v>
      </c>
      <c r="F166">
        <v>0</v>
      </c>
      <c r="G166" s="13" t="s">
        <v>185</v>
      </c>
      <c r="I166">
        <v>0</v>
      </c>
      <c r="J166">
        <v>0</v>
      </c>
      <c r="K166">
        <v>1</v>
      </c>
      <c r="L166">
        <v>0</v>
      </c>
      <c r="M166" s="13" t="s">
        <v>185</v>
      </c>
    </row>
    <row r="167" spans="1:13" ht="14.4">
      <c r="A167" s="14">
        <v>259</v>
      </c>
      <c r="B167" s="13" t="s">
        <v>405</v>
      </c>
      <c r="C167">
        <v>0</v>
      </c>
      <c r="D167">
        <v>0</v>
      </c>
      <c r="E167">
        <v>0</v>
      </c>
      <c r="F167">
        <v>1</v>
      </c>
      <c r="G167" s="13" t="s">
        <v>185</v>
      </c>
      <c r="I167">
        <v>1</v>
      </c>
      <c r="J167">
        <v>0</v>
      </c>
      <c r="K167">
        <v>1</v>
      </c>
      <c r="L167">
        <v>1</v>
      </c>
      <c r="M167" s="13" t="s">
        <v>185</v>
      </c>
    </row>
    <row r="168" spans="1:13" ht="14.4">
      <c r="A168" s="14">
        <v>264</v>
      </c>
      <c r="B168" s="13" t="s">
        <v>411</v>
      </c>
      <c r="C168">
        <v>0</v>
      </c>
      <c r="E168">
        <v>1</v>
      </c>
      <c r="F168">
        <v>1</v>
      </c>
      <c r="G168" s="13" t="s">
        <v>185</v>
      </c>
      <c r="I168">
        <v>1</v>
      </c>
      <c r="J168">
        <v>0</v>
      </c>
      <c r="K168">
        <v>1</v>
      </c>
      <c r="L168">
        <v>1</v>
      </c>
      <c r="M168" s="13" t="s">
        <v>185</v>
      </c>
    </row>
    <row r="169" spans="1:13" ht="14.4">
      <c r="A169" s="14">
        <v>267</v>
      </c>
      <c r="B169" s="13" t="s">
        <v>415</v>
      </c>
      <c r="C169">
        <v>0</v>
      </c>
      <c r="D169">
        <v>0</v>
      </c>
      <c r="E169">
        <v>0</v>
      </c>
      <c r="F169">
        <v>0</v>
      </c>
      <c r="G169" s="13" t="s">
        <v>185</v>
      </c>
      <c r="I169">
        <v>0</v>
      </c>
      <c r="J169">
        <v>0</v>
      </c>
      <c r="K169">
        <v>0</v>
      </c>
      <c r="L169">
        <v>1</v>
      </c>
      <c r="M169" s="13" t="s">
        <v>185</v>
      </c>
    </row>
    <row r="170" spans="1:13" ht="14.4">
      <c r="A170" s="14">
        <v>268</v>
      </c>
      <c r="B170" s="13" t="s">
        <v>417</v>
      </c>
      <c r="C170">
        <v>1</v>
      </c>
      <c r="D170">
        <v>0</v>
      </c>
      <c r="E170">
        <v>0</v>
      </c>
      <c r="F170">
        <v>0</v>
      </c>
      <c r="G170" s="13" t="s">
        <v>185</v>
      </c>
      <c r="I170">
        <v>1</v>
      </c>
      <c r="J170">
        <v>0</v>
      </c>
      <c r="K170">
        <v>1</v>
      </c>
      <c r="L170">
        <v>1</v>
      </c>
      <c r="M170" s="13" t="s">
        <v>185</v>
      </c>
    </row>
    <row r="171" spans="1:13" ht="14.4">
      <c r="A171" s="14">
        <v>269</v>
      </c>
      <c r="B171" s="13" t="s">
        <v>419</v>
      </c>
      <c r="C171">
        <v>0</v>
      </c>
      <c r="D171">
        <v>0</v>
      </c>
      <c r="E171">
        <v>0</v>
      </c>
      <c r="F171">
        <v>0</v>
      </c>
      <c r="G171" s="13" t="s">
        <v>185</v>
      </c>
      <c r="I171">
        <v>0</v>
      </c>
      <c r="J171">
        <v>0</v>
      </c>
      <c r="K171">
        <v>0</v>
      </c>
      <c r="L171">
        <v>1</v>
      </c>
      <c r="M171" s="13" t="s">
        <v>185</v>
      </c>
    </row>
    <row r="172" spans="1:13" ht="14.4">
      <c r="A172" s="14">
        <v>270</v>
      </c>
      <c r="B172" s="13" t="s">
        <v>421</v>
      </c>
      <c r="C172">
        <v>0</v>
      </c>
      <c r="D172">
        <v>0</v>
      </c>
      <c r="E172">
        <v>0</v>
      </c>
      <c r="F172">
        <v>0</v>
      </c>
      <c r="G172" s="13" t="s">
        <v>185</v>
      </c>
      <c r="I172">
        <v>0</v>
      </c>
      <c r="J172">
        <v>0</v>
      </c>
      <c r="K172">
        <v>1</v>
      </c>
      <c r="L172">
        <v>1</v>
      </c>
      <c r="M172" s="13" t="s">
        <v>185</v>
      </c>
    </row>
    <row r="173" spans="1:13" ht="14.4">
      <c r="A173" s="14">
        <v>272</v>
      </c>
      <c r="B173" s="13" t="s">
        <v>424</v>
      </c>
      <c r="C173" s="13">
        <v>1</v>
      </c>
      <c r="D173" s="13">
        <v>0</v>
      </c>
      <c r="E173" s="13">
        <v>0</v>
      </c>
      <c r="F173" s="21">
        <v>0</v>
      </c>
      <c r="G173" s="13" t="s">
        <v>185</v>
      </c>
      <c r="I173" s="21">
        <v>1</v>
      </c>
      <c r="J173" s="21">
        <v>0</v>
      </c>
      <c r="K173" s="21">
        <v>1</v>
      </c>
      <c r="L173" s="21">
        <v>1</v>
      </c>
      <c r="M173" s="13" t="s">
        <v>185</v>
      </c>
    </row>
    <row r="174" spans="1:13" ht="14.4">
      <c r="A174" s="14">
        <v>273</v>
      </c>
      <c r="B174" s="13" t="s">
        <v>425</v>
      </c>
      <c r="C174">
        <v>0</v>
      </c>
      <c r="D174">
        <v>0</v>
      </c>
      <c r="E174">
        <v>0</v>
      </c>
      <c r="F174">
        <v>0</v>
      </c>
      <c r="G174" s="13" t="s">
        <v>185</v>
      </c>
      <c r="I174">
        <v>1</v>
      </c>
      <c r="J174">
        <v>0</v>
      </c>
      <c r="K174">
        <v>0</v>
      </c>
      <c r="L174">
        <v>1</v>
      </c>
      <c r="M174" s="13" t="s">
        <v>185</v>
      </c>
    </row>
    <row r="175" spans="1:13" ht="14.4">
      <c r="A175" s="14">
        <v>274</v>
      </c>
      <c r="B175" s="13" t="s">
        <v>428</v>
      </c>
      <c r="C175">
        <v>1</v>
      </c>
      <c r="D175">
        <v>0</v>
      </c>
      <c r="E175">
        <v>0</v>
      </c>
      <c r="F175">
        <v>0</v>
      </c>
      <c r="G175" s="13" t="s">
        <v>185</v>
      </c>
      <c r="I175">
        <v>1</v>
      </c>
      <c r="J175">
        <v>0</v>
      </c>
      <c r="K175">
        <v>1</v>
      </c>
      <c r="L175">
        <v>1</v>
      </c>
      <c r="M175" s="13" t="s">
        <v>185</v>
      </c>
    </row>
    <row r="176" spans="1:13" ht="14.4">
      <c r="A176" s="14">
        <v>275</v>
      </c>
      <c r="B176" s="13" t="s">
        <v>430</v>
      </c>
      <c r="C176">
        <v>0</v>
      </c>
      <c r="D176">
        <v>0</v>
      </c>
      <c r="E176">
        <v>0</v>
      </c>
      <c r="F176">
        <v>1</v>
      </c>
      <c r="G176" s="13" t="s">
        <v>185</v>
      </c>
      <c r="I176">
        <v>1</v>
      </c>
      <c r="J176">
        <v>0</v>
      </c>
      <c r="K176">
        <v>1</v>
      </c>
      <c r="L176">
        <v>1</v>
      </c>
      <c r="M176" s="13" t="s">
        <v>185</v>
      </c>
    </row>
    <row r="177" spans="1:13" ht="14.4">
      <c r="A177" s="14">
        <v>276</v>
      </c>
      <c r="B177" s="13" t="s">
        <v>432</v>
      </c>
      <c r="C177">
        <v>1</v>
      </c>
      <c r="D177">
        <v>0</v>
      </c>
      <c r="E177">
        <v>0</v>
      </c>
      <c r="F177">
        <v>0</v>
      </c>
      <c r="G177" s="13" t="s">
        <v>185</v>
      </c>
      <c r="I177">
        <v>1</v>
      </c>
      <c r="J177">
        <v>0</v>
      </c>
      <c r="K177">
        <v>1</v>
      </c>
      <c r="L177">
        <v>0</v>
      </c>
      <c r="M177" s="13" t="s">
        <v>185</v>
      </c>
    </row>
    <row r="178" spans="1:13" ht="14.4">
      <c r="A178" s="14">
        <v>277</v>
      </c>
      <c r="B178" s="13" t="s">
        <v>433</v>
      </c>
      <c r="C178">
        <v>1</v>
      </c>
      <c r="D178">
        <v>0</v>
      </c>
      <c r="E178">
        <v>0</v>
      </c>
      <c r="F178">
        <v>1</v>
      </c>
      <c r="G178" s="13" t="s">
        <v>185</v>
      </c>
      <c r="I178">
        <v>1</v>
      </c>
      <c r="J178">
        <v>0</v>
      </c>
      <c r="K178">
        <v>1</v>
      </c>
      <c r="L178">
        <v>1</v>
      </c>
      <c r="M178" s="13" t="s">
        <v>185</v>
      </c>
    </row>
    <row r="179" spans="1:13" ht="14.4">
      <c r="A179" s="14">
        <v>278</v>
      </c>
      <c r="B179" s="13" t="s">
        <v>435</v>
      </c>
      <c r="C179">
        <v>0</v>
      </c>
      <c r="D179">
        <v>0</v>
      </c>
      <c r="E179">
        <v>0</v>
      </c>
      <c r="F179">
        <v>0</v>
      </c>
      <c r="G179" s="13" t="s">
        <v>185</v>
      </c>
      <c r="I179">
        <v>1</v>
      </c>
      <c r="J179">
        <v>0</v>
      </c>
      <c r="K179">
        <v>1</v>
      </c>
      <c r="L179">
        <v>1</v>
      </c>
      <c r="M179" s="13" t="s">
        <v>185</v>
      </c>
    </row>
    <row r="180" spans="1:13" ht="14.4">
      <c r="A180" s="14">
        <v>280</v>
      </c>
      <c r="B180" s="13" t="s">
        <v>438</v>
      </c>
      <c r="C180">
        <v>1</v>
      </c>
      <c r="D180">
        <v>0</v>
      </c>
      <c r="E180">
        <v>0</v>
      </c>
      <c r="F180">
        <v>0</v>
      </c>
      <c r="G180" s="13" t="s">
        <v>185</v>
      </c>
      <c r="I180">
        <v>1</v>
      </c>
      <c r="J180">
        <v>0</v>
      </c>
      <c r="K180">
        <v>0</v>
      </c>
      <c r="L180">
        <v>0</v>
      </c>
      <c r="M180" s="13" t="s">
        <v>185</v>
      </c>
    </row>
    <row r="181" spans="1:13" ht="14.4">
      <c r="A181" s="14">
        <v>281</v>
      </c>
      <c r="B181" s="13" t="s">
        <v>440</v>
      </c>
      <c r="C181">
        <v>0</v>
      </c>
      <c r="D181">
        <v>0</v>
      </c>
      <c r="E181">
        <v>0</v>
      </c>
      <c r="F181">
        <v>0</v>
      </c>
      <c r="G181" s="13" t="s">
        <v>185</v>
      </c>
      <c r="I181">
        <v>0</v>
      </c>
      <c r="J181">
        <v>0</v>
      </c>
      <c r="K181">
        <v>1</v>
      </c>
      <c r="L181">
        <v>0</v>
      </c>
      <c r="M181" s="13" t="s">
        <v>185</v>
      </c>
    </row>
    <row r="182" spans="1:13" ht="14.4">
      <c r="A182" s="14">
        <v>282</v>
      </c>
      <c r="B182" s="13" t="s">
        <v>442</v>
      </c>
      <c r="C182">
        <v>0</v>
      </c>
      <c r="D182">
        <v>0</v>
      </c>
      <c r="E182">
        <v>0</v>
      </c>
      <c r="F182">
        <v>1</v>
      </c>
      <c r="G182" s="13" t="s">
        <v>185</v>
      </c>
      <c r="I182">
        <v>1</v>
      </c>
      <c r="J182">
        <v>1</v>
      </c>
      <c r="K182">
        <v>1</v>
      </c>
      <c r="L182">
        <v>1</v>
      </c>
      <c r="M182" s="13" t="s">
        <v>185</v>
      </c>
    </row>
    <row r="183" spans="1:13" ht="14.4">
      <c r="A183" s="14">
        <v>287</v>
      </c>
      <c r="B183" s="13" t="s">
        <v>448</v>
      </c>
      <c r="C183">
        <v>1</v>
      </c>
      <c r="D183">
        <v>0</v>
      </c>
      <c r="E183">
        <v>0</v>
      </c>
      <c r="F183">
        <v>1</v>
      </c>
      <c r="G183" s="13" t="s">
        <v>506</v>
      </c>
      <c r="I183">
        <v>1</v>
      </c>
      <c r="J183">
        <v>1</v>
      </c>
      <c r="K183">
        <v>1</v>
      </c>
      <c r="L183">
        <v>1</v>
      </c>
      <c r="M183" s="13" t="s">
        <v>506</v>
      </c>
    </row>
    <row r="184" spans="1:13" ht="14.4">
      <c r="A184" s="14">
        <v>291</v>
      </c>
      <c r="B184" s="13" t="s">
        <v>451</v>
      </c>
      <c r="C184">
        <v>0</v>
      </c>
      <c r="D184">
        <v>0</v>
      </c>
      <c r="E184">
        <v>0</v>
      </c>
      <c r="F184">
        <v>0</v>
      </c>
      <c r="G184" s="13" t="s">
        <v>445</v>
      </c>
      <c r="I184">
        <v>1</v>
      </c>
      <c r="J184">
        <v>0</v>
      </c>
      <c r="K184">
        <v>1</v>
      </c>
      <c r="L184">
        <v>1</v>
      </c>
      <c r="M184" s="13" t="s">
        <v>445</v>
      </c>
    </row>
    <row r="185" spans="1:13" ht="14.4">
      <c r="A185" s="14">
        <v>292</v>
      </c>
      <c r="B185" s="13" t="s">
        <v>453</v>
      </c>
      <c r="C185">
        <v>0</v>
      </c>
      <c r="D185">
        <v>0</v>
      </c>
      <c r="E185">
        <v>0</v>
      </c>
      <c r="F185">
        <v>0</v>
      </c>
      <c r="G185" s="13" t="s">
        <v>507</v>
      </c>
      <c r="I185">
        <v>1</v>
      </c>
      <c r="J185">
        <v>0</v>
      </c>
      <c r="K185">
        <v>1</v>
      </c>
      <c r="L185">
        <v>1</v>
      </c>
      <c r="M185" s="13" t="s">
        <v>507</v>
      </c>
    </row>
    <row r="186" spans="1:13" ht="14.4">
      <c r="A186" s="14">
        <v>304</v>
      </c>
      <c r="B186" s="15" t="s">
        <v>485</v>
      </c>
      <c r="C186">
        <v>0</v>
      </c>
      <c r="D186">
        <v>0</v>
      </c>
      <c r="E186">
        <v>0</v>
      </c>
      <c r="F186">
        <v>0</v>
      </c>
      <c r="G186" s="13" t="s">
        <v>482</v>
      </c>
      <c r="I186">
        <v>0</v>
      </c>
      <c r="J186">
        <v>0</v>
      </c>
      <c r="K186">
        <v>0</v>
      </c>
      <c r="L186">
        <v>0</v>
      </c>
      <c r="M186" s="13" t="s">
        <v>482</v>
      </c>
    </row>
    <row r="187" spans="1:13" ht="14.4">
      <c r="A187" s="14">
        <v>306</v>
      </c>
      <c r="B187" t="s">
        <v>471</v>
      </c>
      <c r="C187">
        <v>0</v>
      </c>
      <c r="D187">
        <v>0</v>
      </c>
      <c r="E187">
        <v>0</v>
      </c>
      <c r="F187">
        <v>0</v>
      </c>
      <c r="G187" s="13" t="s">
        <v>482</v>
      </c>
      <c r="I187">
        <v>1</v>
      </c>
      <c r="J187">
        <v>0</v>
      </c>
      <c r="K187">
        <v>1</v>
      </c>
      <c r="L187">
        <v>1</v>
      </c>
      <c r="M187" s="13" t="s">
        <v>482</v>
      </c>
    </row>
    <row r="188" spans="1:13" ht="14.4">
      <c r="A188" s="14">
        <v>308</v>
      </c>
      <c r="B188" t="s">
        <v>483</v>
      </c>
      <c r="C188">
        <v>1</v>
      </c>
      <c r="D188">
        <v>0</v>
      </c>
      <c r="E188">
        <v>0</v>
      </c>
      <c r="F188">
        <v>0</v>
      </c>
      <c r="G188" s="13" t="s">
        <v>508</v>
      </c>
      <c r="I188">
        <v>1</v>
      </c>
      <c r="J188">
        <v>0</v>
      </c>
      <c r="K188">
        <v>1</v>
      </c>
      <c r="L188">
        <v>1</v>
      </c>
      <c r="M188" s="13" t="s">
        <v>508</v>
      </c>
    </row>
    <row r="189" spans="1:13" ht="14.4">
      <c r="A189" s="14">
        <v>309</v>
      </c>
      <c r="B189" t="s">
        <v>477</v>
      </c>
      <c r="C189">
        <v>0</v>
      </c>
      <c r="D189">
        <v>0</v>
      </c>
      <c r="E189">
        <v>0</v>
      </c>
      <c r="F189">
        <v>0</v>
      </c>
      <c r="G189" s="13" t="s">
        <v>482</v>
      </c>
      <c r="I189">
        <v>0</v>
      </c>
      <c r="J189">
        <v>0</v>
      </c>
      <c r="K189">
        <v>0</v>
      </c>
      <c r="L189">
        <v>0</v>
      </c>
      <c r="M189" s="13" t="s">
        <v>482</v>
      </c>
    </row>
    <row r="190" spans="1:13" ht="14.4">
      <c r="A190" s="14">
        <v>310</v>
      </c>
      <c r="B190" t="s">
        <v>201</v>
      </c>
      <c r="C190">
        <v>0</v>
      </c>
      <c r="D190">
        <v>0</v>
      </c>
      <c r="E190">
        <v>0</v>
      </c>
      <c r="F190">
        <v>0</v>
      </c>
      <c r="G190" s="13" t="s">
        <v>490</v>
      </c>
      <c r="I190">
        <v>1</v>
      </c>
      <c r="J190">
        <v>1</v>
      </c>
      <c r="K190">
        <v>0</v>
      </c>
      <c r="L190">
        <v>1</v>
      </c>
      <c r="M190" s="13" t="s">
        <v>490</v>
      </c>
    </row>
    <row r="191" spans="1:13" ht="14.4">
      <c r="A191" s="14">
        <v>311</v>
      </c>
      <c r="B191" t="s">
        <v>474</v>
      </c>
      <c r="C191">
        <v>0</v>
      </c>
      <c r="D191">
        <v>0</v>
      </c>
      <c r="E191">
        <v>0</v>
      </c>
      <c r="F191">
        <v>0</v>
      </c>
      <c r="G191" s="13" t="s">
        <v>490</v>
      </c>
      <c r="I191">
        <v>1</v>
      </c>
      <c r="J191">
        <v>1</v>
      </c>
      <c r="K191">
        <v>1</v>
      </c>
      <c r="L191">
        <v>1</v>
      </c>
      <c r="M191" s="13" t="s">
        <v>490</v>
      </c>
    </row>
    <row r="192" spans="1:13" ht="14.4">
      <c r="A192" s="14">
        <v>312</v>
      </c>
      <c r="B192" t="s">
        <v>479</v>
      </c>
      <c r="C192">
        <v>0</v>
      </c>
      <c r="D192">
        <v>0</v>
      </c>
      <c r="E192">
        <v>0</v>
      </c>
      <c r="F192">
        <v>0</v>
      </c>
      <c r="G192" s="13" t="s">
        <v>490</v>
      </c>
      <c r="I192">
        <v>1</v>
      </c>
      <c r="J192">
        <v>1</v>
      </c>
      <c r="K192">
        <v>1</v>
      </c>
      <c r="L192">
        <v>1</v>
      </c>
      <c r="M192" s="13" t="s">
        <v>490</v>
      </c>
    </row>
    <row r="193" spans="1:13" ht="14.4">
      <c r="A193" s="14">
        <v>313</v>
      </c>
      <c r="B193" t="s">
        <v>484</v>
      </c>
      <c r="C193">
        <v>0</v>
      </c>
      <c r="D193">
        <v>0</v>
      </c>
      <c r="E193">
        <v>0</v>
      </c>
      <c r="F193">
        <v>0</v>
      </c>
      <c r="G193" s="13" t="s">
        <v>490</v>
      </c>
      <c r="I193">
        <v>0</v>
      </c>
      <c r="J193">
        <v>0</v>
      </c>
      <c r="K193">
        <v>0</v>
      </c>
      <c r="L193">
        <v>1</v>
      </c>
      <c r="M193" s="13" t="s">
        <v>490</v>
      </c>
    </row>
  </sheetData>
  <mergeCells count="2">
    <mergeCell ref="B1:F1"/>
    <mergeCell ref="I1:M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keywords check</vt:lpstr>
      <vt:lpstr>keywords(0 &amp; 1)</vt:lpstr>
      <vt:lpstr>keyword count in AI sheet</vt:lpstr>
      <vt:lpstr>final papers</vt:lpstr>
      <vt:lpstr>keyword count manually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Aamir</dc:creator>
  <cp:lastModifiedBy>Aamir Qadir Sofi</cp:lastModifiedBy>
  <dcterms:created xsi:type="dcterms:W3CDTF">2026-06-30T10:15:25Z</dcterms:created>
  <dcterms:modified xsi:type="dcterms:W3CDTF">2026-10-23T04:53:20Z</dcterms:modified>
</cp:coreProperties>
</file>